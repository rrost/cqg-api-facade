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ource\GitHub\cqg-api-facade\QuoteBoard\"/>
    </mc:Choice>
  </mc:AlternateContent>
  <bookViews>
    <workbookView xWindow="0" yWindow="0" windowWidth="14370" windowHeight="7635"/>
  </bookViews>
  <sheets>
    <sheet name="CQG RTD Quote Dashboard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34" i="1" l="1"/>
  <c r="T34" i="1" s="1"/>
  <c r="C34" i="1"/>
  <c r="D34" i="1"/>
  <c r="M34" i="1"/>
  <c r="S34" i="1"/>
  <c r="N34" i="1"/>
  <c r="Q34" i="1"/>
  <c r="H34" i="1"/>
  <c r="E34" i="1"/>
  <c r="I34" i="1"/>
  <c r="G34" i="1"/>
  <c r="O34" i="1"/>
  <c r="P34" i="1"/>
  <c r="J34" i="1"/>
  <c r="K34" i="1"/>
  <c r="F34" i="1"/>
  <c r="L34" i="1"/>
  <c r="R34" i="1"/>
  <c r="B33" i="1"/>
  <c r="T33" i="1" s="1"/>
  <c r="E33" i="1"/>
  <c r="O33" i="1"/>
  <c r="L33" i="1"/>
  <c r="P33" i="1"/>
  <c r="H33" i="1"/>
  <c r="I33" i="1"/>
  <c r="M33" i="1"/>
  <c r="D33" i="1"/>
  <c r="B32" i="1"/>
  <c r="T32" i="1" s="1"/>
  <c r="I32" i="1"/>
  <c r="E32" i="1"/>
  <c r="H32" i="1"/>
  <c r="S32" i="1"/>
  <c r="F32" i="1"/>
  <c r="J32" i="1"/>
  <c r="D32" i="1"/>
  <c r="K32" i="1"/>
  <c r="P32" i="1"/>
  <c r="O32" i="1"/>
  <c r="C32" i="1"/>
  <c r="L32" i="1"/>
  <c r="M32" i="1"/>
  <c r="B31" i="1"/>
  <c r="T31" i="1" s="1"/>
  <c r="R31" i="1"/>
  <c r="Q31" i="1"/>
  <c r="D31" i="1"/>
  <c r="M31" i="1"/>
  <c r="F31" i="1"/>
  <c r="E31" i="1"/>
  <c r="P31" i="1"/>
  <c r="O31" i="1"/>
  <c r="I31" i="1"/>
  <c r="L31" i="1"/>
  <c r="K31" i="1"/>
  <c r="G31" i="1"/>
  <c r="S31" i="1"/>
  <c r="N31" i="1"/>
  <c r="B30" i="1"/>
  <c r="T30" i="1" s="1"/>
  <c r="B29" i="1"/>
  <c r="T29" i="1" s="1"/>
  <c r="O29" i="1"/>
  <c r="C29" i="1"/>
  <c r="Q29" i="1"/>
  <c r="E29" i="1"/>
  <c r="G29" i="1"/>
  <c r="B28" i="1"/>
  <c r="T28" i="1" s="1"/>
  <c r="N28" i="1"/>
  <c r="B27" i="1"/>
  <c r="T27" i="1" s="1"/>
  <c r="J27" i="1"/>
  <c r="P27" i="1"/>
  <c r="M27" i="1"/>
  <c r="E27" i="1"/>
  <c r="H27" i="1"/>
  <c r="O27" i="1"/>
  <c r="G27" i="1"/>
  <c r="R27" i="1"/>
  <c r="K27" i="1"/>
  <c r="Q27" i="1"/>
  <c r="F27" i="1"/>
  <c r="B26" i="1"/>
  <c r="T26" i="1" s="1"/>
  <c r="J26" i="1"/>
  <c r="M26" i="1"/>
  <c r="P26" i="1"/>
  <c r="G26" i="1"/>
  <c r="K26" i="1"/>
  <c r="D26" i="1"/>
  <c r="R26" i="1"/>
  <c r="Q26" i="1"/>
  <c r="L26" i="1"/>
  <c r="C26" i="1"/>
  <c r="N26" i="1"/>
  <c r="E26" i="1"/>
  <c r="O26" i="1"/>
  <c r="S26" i="1"/>
  <c r="I26" i="1"/>
  <c r="H26" i="1"/>
  <c r="F26" i="1"/>
  <c r="B25" i="1"/>
  <c r="T25" i="1" s="1"/>
  <c r="G25" i="1"/>
  <c r="P25" i="1"/>
  <c r="Q25" i="1"/>
  <c r="S25" i="1"/>
  <c r="N25" i="1"/>
  <c r="R25" i="1"/>
  <c r="C25" i="1"/>
  <c r="B24" i="1"/>
  <c r="T24" i="1" s="1"/>
  <c r="M24" i="1"/>
  <c r="Q24" i="1"/>
  <c r="K24" i="1"/>
  <c r="F24" i="1"/>
  <c r="N24" i="1"/>
  <c r="P24" i="1"/>
  <c r="H24" i="1"/>
  <c r="I24" i="1"/>
  <c r="D24" i="1"/>
  <c r="O24" i="1"/>
  <c r="S24" i="1"/>
  <c r="J24" i="1"/>
  <c r="L24" i="1"/>
  <c r="R24" i="1"/>
  <c r="E24" i="1"/>
  <c r="C24" i="1"/>
  <c r="G24" i="1"/>
  <c r="B23" i="1"/>
  <c r="T23" i="1" s="1"/>
  <c r="H23" i="1"/>
  <c r="G23" i="1"/>
  <c r="D23" i="1"/>
  <c r="F23" i="1"/>
  <c r="S23" i="1"/>
  <c r="C23" i="1"/>
  <c r="I23" i="1"/>
  <c r="J23" i="1"/>
  <c r="O23" i="1"/>
  <c r="E23" i="1"/>
  <c r="B22" i="1"/>
  <c r="T22" i="1" s="1"/>
  <c r="N22" i="1"/>
  <c r="K22" i="1"/>
  <c r="P22" i="1"/>
  <c r="E22" i="1"/>
  <c r="G22" i="1"/>
  <c r="F22" i="1"/>
  <c r="S22" i="1"/>
  <c r="L22" i="1"/>
  <c r="O22" i="1"/>
  <c r="I22" i="1"/>
  <c r="Q22" i="1"/>
  <c r="R22" i="1"/>
  <c r="B21" i="1"/>
  <c r="T21" i="1" s="1"/>
  <c r="C21" i="1"/>
  <c r="O21" i="1"/>
  <c r="H21" i="1"/>
  <c r="J21" i="1"/>
  <c r="E21" i="1"/>
  <c r="F21" i="1"/>
  <c r="G21" i="1"/>
  <c r="L21" i="1"/>
  <c r="Q21" i="1"/>
  <c r="N21" i="1"/>
  <c r="I21" i="1"/>
  <c r="R21" i="1"/>
  <c r="D21" i="1"/>
  <c r="S21" i="1"/>
  <c r="M21" i="1"/>
  <c r="B20" i="1"/>
  <c r="T20" i="1" s="1"/>
  <c r="O20" i="1"/>
  <c r="G20" i="1"/>
  <c r="F20" i="1"/>
  <c r="P20" i="1"/>
  <c r="C20" i="1"/>
  <c r="B19" i="1"/>
  <c r="T19" i="1" s="1"/>
  <c r="O19" i="1"/>
  <c r="E19" i="1"/>
  <c r="J19" i="1"/>
  <c r="H19" i="1"/>
  <c r="G19" i="1"/>
  <c r="L19" i="1"/>
  <c r="D19" i="1"/>
  <c r="Q19" i="1"/>
  <c r="N19" i="1"/>
  <c r="C19" i="1"/>
  <c r="B18" i="1"/>
  <c r="T18" i="1" s="1"/>
  <c r="K18" i="1"/>
  <c r="L18" i="1"/>
  <c r="S18" i="1"/>
  <c r="M18" i="1"/>
  <c r="I18" i="1"/>
  <c r="P18" i="1"/>
  <c r="B17" i="1"/>
  <c r="T17" i="1" s="1"/>
  <c r="B16" i="1"/>
  <c r="T16" i="1" s="1"/>
  <c r="F16" i="1"/>
  <c r="B15" i="1"/>
  <c r="T15" i="1" s="1"/>
  <c r="R15" i="1"/>
  <c r="Q15" i="1"/>
  <c r="J15" i="1"/>
  <c r="F15" i="1"/>
  <c r="K15" i="1"/>
  <c r="L15" i="1"/>
  <c r="C15" i="1"/>
  <c r="O15" i="1"/>
  <c r="E15" i="1"/>
  <c r="M15" i="1"/>
  <c r="G15" i="1"/>
  <c r="N15" i="1"/>
  <c r="B14" i="1"/>
  <c r="T14" i="1" s="1"/>
  <c r="C14" i="1"/>
  <c r="E14" i="1"/>
  <c r="P14" i="1"/>
  <c r="O14" i="1"/>
  <c r="D14" i="1"/>
  <c r="N14" i="1"/>
  <c r="H14" i="1"/>
  <c r="G14" i="1"/>
  <c r="M14" i="1"/>
  <c r="R14" i="1"/>
  <c r="J14" i="1"/>
  <c r="S14" i="1"/>
  <c r="B13" i="1"/>
  <c r="T13" i="1" s="1"/>
  <c r="G13" i="1"/>
  <c r="I13" i="1"/>
  <c r="N13" i="1"/>
  <c r="B12" i="1"/>
  <c r="T12" i="1" s="1"/>
  <c r="L12" i="1"/>
  <c r="C12" i="1"/>
  <c r="O12" i="1"/>
  <c r="E12" i="1"/>
  <c r="R12" i="1"/>
  <c r="I12" i="1"/>
  <c r="H12" i="1"/>
  <c r="F12" i="1"/>
  <c r="J12" i="1"/>
  <c r="N12" i="1"/>
  <c r="D12" i="1"/>
  <c r="M12" i="1"/>
  <c r="S12" i="1"/>
  <c r="B11" i="1"/>
  <c r="T11" i="1" s="1"/>
  <c r="Q11" i="1"/>
  <c r="C11" i="1"/>
  <c r="E11" i="1"/>
  <c r="P11" i="1"/>
  <c r="J11" i="1"/>
  <c r="M11" i="1"/>
  <c r="B10" i="1"/>
  <c r="T10" i="1" s="1"/>
  <c r="B9" i="1"/>
  <c r="T9" i="1" s="1"/>
  <c r="L9" i="1"/>
  <c r="M9" i="1"/>
  <c r="P9" i="1"/>
  <c r="I9" i="1"/>
  <c r="C9" i="1"/>
  <c r="B8" i="1"/>
  <c r="T8" i="1" s="1"/>
  <c r="B7" i="1"/>
  <c r="T7" i="1" s="1"/>
  <c r="K7" i="1"/>
  <c r="H7" i="1"/>
  <c r="S7" i="1"/>
  <c r="P7" i="1"/>
  <c r="B6" i="1"/>
  <c r="T6" i="1" s="1"/>
  <c r="R6" i="1"/>
  <c r="N6" i="1"/>
  <c r="L6" i="1"/>
  <c r="J6" i="1"/>
  <c r="G6" i="1"/>
  <c r="M6" i="1"/>
  <c r="D6" i="1"/>
  <c r="O6" i="1"/>
  <c r="I6" i="1"/>
  <c r="P6" i="1"/>
  <c r="B5" i="1"/>
  <c r="T5" i="1" s="1"/>
  <c r="S5" i="1"/>
  <c r="B4" i="1"/>
  <c r="T4" i="1" s="1"/>
  <c r="R4" i="1"/>
  <c r="E4" i="1"/>
  <c r="L4" i="1"/>
  <c r="N4" i="1"/>
  <c r="B3" i="1"/>
  <c r="T3" i="1" s="1"/>
  <c r="F3" i="1"/>
  <c r="I3" i="1"/>
  <c r="L3" i="1"/>
  <c r="Q3" i="1"/>
  <c r="R3" i="1"/>
  <c r="S3" i="1"/>
  <c r="K3" i="1"/>
  <c r="C3" i="1"/>
  <c r="H3" i="1"/>
  <c r="D3" i="1"/>
  <c r="J3" i="1"/>
  <c r="E3" i="1"/>
  <c r="N3" i="1"/>
  <c r="O3" i="1"/>
  <c r="P3" i="1"/>
  <c r="G3" i="1"/>
  <c r="M3" i="1"/>
  <c r="M4" i="1"/>
  <c r="O4" i="1"/>
  <c r="P4" i="1"/>
  <c r="S4" i="1"/>
  <c r="G4" i="1"/>
  <c r="J4" i="1"/>
  <c r="I4" i="1"/>
  <c r="F4" i="1"/>
  <c r="K4" i="1"/>
  <c r="D4" i="1"/>
  <c r="H4" i="1"/>
  <c r="C4" i="1"/>
  <c r="Q4" i="1"/>
  <c r="E5" i="1"/>
  <c r="O5" i="1"/>
  <c r="H5" i="1"/>
  <c r="D5" i="1"/>
  <c r="P5" i="1"/>
  <c r="L5" i="1"/>
  <c r="K5" i="1"/>
  <c r="C5" i="1"/>
  <c r="N5" i="1"/>
  <c r="Q5" i="1"/>
  <c r="G5" i="1"/>
  <c r="R5" i="1"/>
  <c r="I5" i="1"/>
  <c r="M5" i="1"/>
  <c r="F5" i="1"/>
  <c r="J5" i="1"/>
  <c r="E6" i="1"/>
  <c r="C6" i="1"/>
  <c r="F6" i="1"/>
  <c r="H6" i="1"/>
  <c r="S6" i="1"/>
  <c r="K6" i="1"/>
  <c r="Q6" i="1"/>
  <c r="G7" i="1"/>
  <c r="L7" i="1"/>
  <c r="E7" i="1"/>
  <c r="F7" i="1"/>
  <c r="I7" i="1"/>
  <c r="C7" i="1"/>
  <c r="N7" i="1"/>
  <c r="O7" i="1"/>
  <c r="D7" i="1"/>
  <c r="Q7" i="1"/>
  <c r="M7" i="1"/>
  <c r="R7" i="1"/>
  <c r="J7" i="1"/>
  <c r="K8" i="1"/>
  <c r="P8" i="1"/>
  <c r="H8" i="1"/>
  <c r="G8" i="1"/>
  <c r="N8" i="1"/>
  <c r="J8" i="1"/>
  <c r="M8" i="1"/>
  <c r="I8" i="1"/>
  <c r="C8" i="1"/>
  <c r="O8" i="1"/>
  <c r="R8" i="1"/>
  <c r="L8" i="1"/>
  <c r="D8" i="1"/>
  <c r="F8" i="1"/>
  <c r="E8" i="1"/>
  <c r="S8" i="1"/>
  <c r="Q8" i="1"/>
  <c r="R9" i="1"/>
  <c r="H9" i="1"/>
  <c r="G9" i="1"/>
  <c r="D9" i="1"/>
  <c r="S9" i="1"/>
  <c r="N9" i="1"/>
  <c r="K9" i="1"/>
  <c r="E9" i="1"/>
  <c r="O9" i="1"/>
  <c r="J9" i="1"/>
  <c r="F9" i="1"/>
  <c r="Q9" i="1"/>
  <c r="R10" i="1"/>
  <c r="N10" i="1"/>
  <c r="P10" i="1"/>
  <c r="D10" i="1"/>
  <c r="F10" i="1"/>
  <c r="G10" i="1"/>
  <c r="J10" i="1"/>
  <c r="K10" i="1"/>
  <c r="Q10" i="1"/>
  <c r="M10" i="1"/>
  <c r="C10" i="1"/>
  <c r="O10" i="1"/>
  <c r="E10" i="1"/>
  <c r="H10" i="1"/>
  <c r="L10" i="1"/>
  <c r="I10" i="1"/>
  <c r="S10" i="1"/>
  <c r="H11" i="1"/>
  <c r="G11" i="1"/>
  <c r="N11" i="1"/>
  <c r="F11" i="1"/>
  <c r="O11" i="1"/>
  <c r="S11" i="1"/>
  <c r="R11" i="1"/>
  <c r="D11" i="1"/>
  <c r="K11" i="1"/>
  <c r="I11" i="1"/>
  <c r="L11" i="1"/>
  <c r="Q12" i="1"/>
  <c r="K12" i="1"/>
  <c r="P12" i="1"/>
  <c r="G12" i="1"/>
  <c r="C13" i="1"/>
  <c r="S13" i="1"/>
  <c r="P13" i="1"/>
  <c r="K13" i="1"/>
  <c r="Q13" i="1"/>
  <c r="F13" i="1"/>
  <c r="D13" i="1"/>
  <c r="J13" i="1"/>
  <c r="H13" i="1"/>
  <c r="R13" i="1"/>
  <c r="O13" i="1"/>
  <c r="L13" i="1"/>
  <c r="E13" i="1"/>
  <c r="M13" i="1"/>
  <c r="K14" i="1"/>
  <c r="L14" i="1"/>
  <c r="I14" i="1"/>
  <c r="Q14" i="1"/>
  <c r="F14" i="1"/>
  <c r="D15" i="1"/>
  <c r="S15" i="1"/>
  <c r="I15" i="1"/>
  <c r="P15" i="1"/>
  <c r="H15" i="1"/>
  <c r="O16" i="1"/>
  <c r="K16" i="1"/>
  <c r="I16" i="1"/>
  <c r="H16" i="1"/>
  <c r="L16" i="1"/>
  <c r="G16" i="1"/>
  <c r="M16" i="1"/>
  <c r="R16" i="1"/>
  <c r="P16" i="1"/>
  <c r="S16" i="1"/>
  <c r="N16" i="1"/>
  <c r="Q16" i="1"/>
  <c r="C16" i="1"/>
  <c r="J16" i="1"/>
  <c r="D16" i="1"/>
  <c r="E16" i="1"/>
  <c r="K17" i="1"/>
  <c r="H17" i="1"/>
  <c r="O17" i="1"/>
  <c r="L17" i="1"/>
  <c r="J17" i="1"/>
  <c r="C17" i="1"/>
  <c r="Q17" i="1"/>
  <c r="R17" i="1"/>
  <c r="M17" i="1"/>
  <c r="G17" i="1"/>
  <c r="F17" i="1"/>
  <c r="N17" i="1"/>
  <c r="E17" i="1"/>
  <c r="D17" i="1"/>
  <c r="S17" i="1"/>
  <c r="P17" i="1"/>
  <c r="I17" i="1"/>
  <c r="O18" i="1"/>
  <c r="J18" i="1"/>
  <c r="D18" i="1"/>
  <c r="G18" i="1"/>
  <c r="Q18" i="1"/>
  <c r="C18" i="1"/>
  <c r="N18" i="1"/>
  <c r="F18" i="1"/>
  <c r="R18" i="1"/>
  <c r="H18" i="1"/>
  <c r="E18" i="1"/>
  <c r="P19" i="1"/>
  <c r="I19" i="1"/>
  <c r="R19" i="1"/>
  <c r="K19" i="1"/>
  <c r="S19" i="1"/>
  <c r="M19" i="1"/>
  <c r="F19" i="1"/>
  <c r="J20" i="1"/>
  <c r="I20" i="1"/>
  <c r="L20" i="1"/>
  <c r="H20" i="1"/>
  <c r="E20" i="1"/>
  <c r="K20" i="1"/>
  <c r="M20" i="1"/>
  <c r="Q20" i="1"/>
  <c r="D20" i="1"/>
  <c r="S20" i="1"/>
  <c r="R20" i="1"/>
  <c r="N20" i="1"/>
  <c r="K21" i="1"/>
  <c r="P21" i="1"/>
  <c r="H22" i="1"/>
  <c r="D22" i="1"/>
  <c r="C22" i="1"/>
  <c r="M22" i="1"/>
  <c r="J22" i="1"/>
  <c r="Q23" i="1"/>
  <c r="P23" i="1"/>
  <c r="L23" i="1"/>
  <c r="K23" i="1"/>
  <c r="R23" i="1"/>
  <c r="M23" i="1"/>
  <c r="N23" i="1"/>
  <c r="O25" i="1"/>
  <c r="L25" i="1"/>
  <c r="F25" i="1"/>
  <c r="H25" i="1"/>
  <c r="J25" i="1"/>
  <c r="I25" i="1"/>
  <c r="M25" i="1"/>
  <c r="E25" i="1"/>
  <c r="K25" i="1"/>
  <c r="D25" i="1"/>
  <c r="C27" i="1"/>
  <c r="I27" i="1"/>
  <c r="L27" i="1"/>
  <c r="D27" i="1"/>
  <c r="S27" i="1"/>
  <c r="N27" i="1"/>
  <c r="C28" i="1"/>
  <c r="G28" i="1"/>
  <c r="R28" i="1"/>
  <c r="L28" i="1"/>
  <c r="Q28" i="1"/>
  <c r="K28" i="1"/>
  <c r="F28" i="1"/>
  <c r="S28" i="1"/>
  <c r="O28" i="1"/>
  <c r="J28" i="1"/>
  <c r="P28" i="1"/>
  <c r="H28" i="1"/>
  <c r="I28" i="1"/>
  <c r="M28" i="1"/>
  <c r="D28" i="1"/>
  <c r="E28" i="1"/>
  <c r="J29" i="1"/>
  <c r="H29" i="1"/>
  <c r="M29" i="1"/>
  <c r="P29" i="1"/>
  <c r="F29" i="1"/>
  <c r="S29" i="1"/>
  <c r="L29" i="1"/>
  <c r="D29" i="1"/>
  <c r="K29" i="1"/>
  <c r="R29" i="1"/>
  <c r="I29" i="1"/>
  <c r="N29" i="1"/>
  <c r="G30" i="1"/>
  <c r="L30" i="1"/>
  <c r="N30" i="1"/>
  <c r="S30" i="1"/>
  <c r="O30" i="1"/>
  <c r="Q30" i="1"/>
  <c r="K30" i="1"/>
  <c r="R30" i="1"/>
  <c r="P30" i="1"/>
  <c r="I30" i="1"/>
  <c r="J30" i="1"/>
  <c r="D30" i="1"/>
  <c r="H30" i="1"/>
  <c r="C30" i="1"/>
  <c r="E30" i="1"/>
  <c r="M30" i="1"/>
  <c r="F30" i="1"/>
  <c r="J31" i="1"/>
  <c r="C31" i="1"/>
  <c r="H31" i="1"/>
  <c r="Q32" i="1"/>
  <c r="G32" i="1"/>
  <c r="N32" i="1"/>
  <c r="R32" i="1"/>
  <c r="Q33" i="1"/>
  <c r="F33" i="1"/>
  <c r="C33" i="1"/>
  <c r="G33" i="1"/>
  <c r="J33" i="1"/>
  <c r="R33" i="1"/>
  <c r="N33" i="1"/>
  <c r="S33" i="1"/>
  <c r="K33" i="1"/>
</calcChain>
</file>

<file path=xl/sharedStrings.xml><?xml version="1.0" encoding="utf-8"?>
<sst xmlns="http://schemas.openxmlformats.org/spreadsheetml/2006/main" count="40" uniqueCount="40">
  <si>
    <t>Symbol</t>
  </si>
  <si>
    <t>Best Bid</t>
  </si>
  <si>
    <t>Best Ask</t>
  </si>
  <si>
    <t>Last Trade</t>
  </si>
  <si>
    <t>Yesterday Close</t>
  </si>
  <si>
    <t>Resolved To</t>
  </si>
  <si>
    <t>Expiration Date</t>
  </si>
  <si>
    <t>EP</t>
  </si>
  <si>
    <t>ENQ</t>
  </si>
  <si>
    <t>DD</t>
  </si>
  <si>
    <t>EDA</t>
  </si>
  <si>
    <t>USA</t>
  </si>
  <si>
    <t>CLES2</t>
  </si>
  <si>
    <t>CLES3</t>
  </si>
  <si>
    <t>NGE</t>
  </si>
  <si>
    <t>CLES1</t>
  </si>
  <si>
    <t>CLE</t>
  </si>
  <si>
    <t>C.CLEN56800</t>
  </si>
  <si>
    <t>P.EP</t>
  </si>
  <si>
    <t>Implied Volatility</t>
  </si>
  <si>
    <t>Average Volatility</t>
  </si>
  <si>
    <t>C.EP</t>
  </si>
  <si>
    <t>Theoretical Value</t>
  </si>
  <si>
    <t>Delta</t>
  </si>
  <si>
    <t>Gamma</t>
  </si>
  <si>
    <t>Rho</t>
  </si>
  <si>
    <t>Theta</t>
  </si>
  <si>
    <t>Vega</t>
  </si>
  <si>
    <t>Strike Price</t>
  </si>
  <si>
    <t>C.ENQ</t>
  </si>
  <si>
    <t>P.ENQ</t>
  </si>
  <si>
    <t>C.USA</t>
  </si>
  <si>
    <t>CQG RTD QuoteBoard. Copyright © 2015 Rostislav Ostapenko (rostislav.ostapenko@gmail.com). Licensed under the MIT License.</t>
  </si>
  <si>
    <t>P.USA</t>
  </si>
  <si>
    <t>Q1</t>
  </si>
  <si>
    <t>Account:</t>
  </si>
  <si>
    <t>Position</t>
  </si>
  <si>
    <t>Best Bid Vol.</t>
  </si>
  <si>
    <t>Best Ask Vol.</t>
  </si>
  <si>
    <t>Last Trade Vol.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</si>
</sst>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8" xfId="0" applyBorder="1"/>
    <xf numFmtId="0" fontId="0" fillId="0" borderId="5" xfId="0" applyFill="1" applyBorder="1" applyProtection="1">
      <protection locked="0"/>
    </xf>
    <xf numFmtId="0" fontId="0" fillId="0" borderId="7" xfId="0" applyFill="1" applyBorder="1" applyProtection="1">
      <protection locked="0"/>
    </xf>
    <xf numFmtId="14" fontId="0" fillId="0" borderId="1" xfId="0" applyNumberFormat="1" applyBorder="1"/>
    <xf numFmtId="14" fontId="0" fillId="0" borderId="8" xfId="0" applyNumberFormat="1" applyBorder="1"/>
    <xf numFmtId="0" fontId="1" fillId="2" borderId="3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0" borderId="1" xfId="0" applyNumberFormat="1" applyBorder="1"/>
    <xf numFmtId="0" fontId="0" fillId="0" borderId="8" xfId="0" applyNumberFormat="1" applyBorder="1"/>
    <xf numFmtId="0" fontId="0" fillId="0" borderId="10" xfId="0" applyBorder="1" applyAlignment="1">
      <alignment horizontal="left" vertical="top"/>
    </xf>
    <xf numFmtId="0" fontId="1" fillId="0" borderId="0" xfId="0" applyFont="1"/>
    <xf numFmtId="0" fontId="1" fillId="2" borderId="11" xfId="0" applyFont="1" applyFill="1" applyBorder="1" applyAlignment="1">
      <alignment wrapText="1"/>
    </xf>
    <xf numFmtId="0" fontId="0" fillId="0" borderId="12" xfId="0" applyNumberFormat="1" applyBorder="1"/>
    <xf numFmtId="0" fontId="0" fillId="0" borderId="13" xfId="0" applyNumberFormat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0F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cqg.rtd">
      <tp t="s">
        <v/>
        <stp>cqgrtdserver</stp>
        <stp>ContractData</stp>
        <stp>F.US.CLEQ15</stp>
        <stp>Vega</stp>
        <tr r="S6" s="1"/>
      </tp>
      <tp>
        <v>21.98</v>
        <stp>cqgrtdserver</stp>
        <stp>ContractData</stp>
        <stp>C.US.EPN1520700</stp>
        <stp>ImpliedVolatility</stp>
        <tr r="L15" s="1"/>
      </tp>
      <tp>
        <v>23.71</v>
        <stp>cqgrtdserver</stp>
        <stp>ContractData</stp>
        <stp>P.US.EPN1520700</stp>
        <stp>ImpliedVolatility</stp>
        <tr r="L14" s="1"/>
      </tp>
      <tp t="s">
        <v/>
        <stp>cqgrtdserver</stp>
        <stp>ContractData</stp>
        <stp>F.US.EPU15</stp>
        <stp>Theta</stp>
        <tr r="R3" s="1"/>
      </tp>
      <tp t="s">
        <v/>
        <stp>cqgrtdserver</stp>
        <stp>ContractData</stp>
        <stp>F.US.CLES3Q15</stp>
        <stp>Rho</stp>
        <tr r="Q12" s="1"/>
      </tp>
      <tp t="s">
        <v/>
        <stp>cqgrtdserver</stp>
        <stp>ContractData</stp>
        <stp>F.US.CLES1Q15</stp>
        <stp>Rho</stp>
        <tr r="Q10" s="1"/>
      </tp>
      <tp>
        <v>-0.60399999999999998</v>
        <stp>cqgrtdserver</stp>
        <stp>ContractData</stp>
        <stp>C.US.ENQN1544200</stp>
        <stp>Rho</stp>
        <tr r="Q16" s="1"/>
      </tp>
      <tp>
        <v>-0.70699999999999996</v>
        <stp>cqgrtdserver</stp>
        <stp>ContractData</stp>
        <stp>P.US.ENQN1544200</stp>
        <stp>Rho</stp>
        <tr r="Q17" s="1"/>
      </tp>
      <tp t="s">
        <v/>
        <stp>cqgrtdserver</stp>
        <stp>ContractData</stp>
        <stp>F.US.DDU15</stp>
        <stp>Theta</stp>
        <tr r="R20" s="1"/>
        <tr r="R4" s="1"/>
      </tp>
      <tp>
        <v>1</v>
        <stp>cqgrtdserver</stp>
        <stp>ContractData</stp>
        <stp>F.US.DDU15</stp>
        <stp>VolumeLastBid</stp>
        <tr r="D20" s="1"/>
        <tr r="D4" s="1"/>
      </tp>
      <tp>
        <v>8</v>
        <stp>cqgrtdserver</stp>
        <stp>ContractData</stp>
        <stp>P.US.USAQ1514900</stp>
        <stp>Bid</stp>
        <stp/>
        <stp>D</stp>
        <tr r="C19" s="1"/>
      </tp>
      <tp>
        <v>200</v>
        <stp>cqgrtdserver</stp>
        <stp>ContractData</stp>
        <stp>P.US.USAQ1514900</stp>
        <stp>Ask</stp>
        <stp/>
        <stp>D</stp>
        <tr r="E19" s="1"/>
      </tp>
      <tp>
        <v>2</v>
        <stp>cqgrtdserver</stp>
        <stp>ContractData</stp>
        <stp>F.US.EPU15</stp>
        <stp>VolumeLastBid</stp>
        <tr r="D3" s="1"/>
      </tp>
      <tp t="s">
        <v/>
        <stp>cqgrtdserver</stp>
        <stp>ContractData</stp>
        <stp>F.US.ENQU15</stp>
        <stp>Vega</stp>
        <tr r="S5" s="1"/>
      </tp>
      <tp t="s">
        <v/>
        <stp>cqgrtdserver</stp>
        <stp>ContractData</stp>
        <stp>F.US.EDAZ16</stp>
        <stp>Vega</stp>
        <tr r="S9" s="1"/>
      </tp>
      <tp>
        <v>3</v>
        <stp>cqgrtdserver</stp>
        <stp>ContractData</stp>
        <stp>F.US.EPU15</stp>
        <stp>VolumeLastAsk</stp>
        <tr r="F3" s="1"/>
      </tp>
      <tp>
        <v>25</v>
        <stp>cqgrtdserver</stp>
        <stp>ContractData</stp>
        <stp>F.US.EDAZ16</stp>
        <stp>VolumeLastTrade</stp>
        <tr r="H9" s="1"/>
      </tp>
      <tp>
        <v>44.095999999999997</v>
        <stp>cqgrtdserver</stp>
        <stp>ContractData</stp>
        <stp>C.US.ENQN1544200</stp>
        <stp>TheoreticalValue</stp>
        <tr r="N16" s="1"/>
      </tp>
      <tp>
        <v>51.609000000000002</v>
        <stp>cqgrtdserver</stp>
        <stp>ContractData</stp>
        <stp>P.US.ENQN1544200</stp>
        <stp>TheoreticalValue</stp>
        <tr r="N17" s="1"/>
      </tp>
      <tp>
        <v>1</v>
        <stp>cqgrtdserver</stp>
        <stp>ContractData</stp>
        <stp>F.US.DDU15</stp>
        <stp>VolumeLastAsk</stp>
        <tr r="F4" s="1"/>
        <tr r="F20" s="1"/>
      </tp>
      <tp t="s">
        <v/>
        <stp>cqgrtdserver</stp>
        <stp>ContractData</stp>
        <stp>F.US.CLES2Z17</stp>
        <stp>Rho</stp>
        <tr r="Q11" s="1"/>
      </tp>
      <tp>
        <v>42206</v>
        <stp>cqgrtdserver</stp>
        <stp>ContractData</stp>
        <stp>F.US.CLES3Q15</stp>
        <stp>ExpirationDate</stp>
        <tr r="K12" s="1"/>
      </tp>
      <tp>
        <v>149</v>
        <stp>cqgrtdserver</stp>
        <stp>ContractData</stp>
        <stp>C.US.USAQ1514900</stp>
        <stp>LastTrade</stp>
        <stp/>
        <stp>D</stp>
        <tr r="G18" s="1"/>
      </tp>
      <tp>
        <v>131</v>
        <stp>cqgrtdserver</stp>
        <stp>ContractData</stp>
        <stp>P.US.USAQ1514900</stp>
        <stp>LastTrade</stp>
        <stp/>
        <stp>D</stp>
        <tr r="G19" s="1"/>
      </tp>
      <tp t="s">
        <v/>
        <stp>cqgrtdserver</stp>
        <stp>ContractData</stp>
        <stp>C.US.ENQN1544200</stp>
        <stp>Ask</stp>
        <stp/>
        <stp>D</stp>
        <tr r="E16" s="1"/>
      </tp>
      <tp t="s">
        <v/>
        <stp>cqgrtdserver</stp>
        <stp>ContractData</stp>
        <stp>C.US.ENQN1544200</stp>
        <stp>Bid</stp>
        <stp/>
        <stp>D</stp>
        <tr r="C16" s="1"/>
      </tp>
      <tp>
        <v>149150</v>
        <stp>cqgrtdserver</stp>
        <stp>ContractData</stp>
        <stp>F.US.USAU15</stp>
        <stp>Ask</stp>
        <stp/>
        <stp>D</stp>
        <tr r="E8" s="1"/>
      </tp>
      <tp>
        <v>149140</v>
        <stp>cqgrtdserver</stp>
        <stp>ContractData</stp>
        <stp>F.US.USAU15</stp>
        <stp>Bid</stp>
        <stp/>
        <stp>D</stp>
        <tr r="C8" s="1"/>
      </tp>
      <tp>
        <v>2</v>
        <stp>cqgrtdserver</stp>
        <stp>ContractData</stp>
        <stp>F.US.USAU15</stp>
        <stp>VolumeLastTrade</stp>
        <tr r="H8" s="1"/>
      </tp>
      <tp>
        <v>98655</v>
        <stp>cqgrtdserver</stp>
        <stp>ContractData</stp>
        <stp>F.US.EDAZ16</stp>
        <stp>Bid</stp>
        <stp/>
        <stp>D</stp>
        <tr r="C9" s="1"/>
      </tp>
      <tp>
        <v>98660</v>
        <stp>cqgrtdserver</stp>
        <stp>ContractData</stp>
        <stp>F.US.EDAZ16</stp>
        <stp>Ask</stp>
        <stp/>
        <stp>D</stp>
        <tr r="E9" s="1"/>
      </tp>
      <tp>
        <v>43060</v>
        <stp>cqgrtdserver</stp>
        <stp>ContractData</stp>
        <stp>F.US.CLES2Z17</stp>
        <stp>ExpirationDate</stp>
        <tr r="K11" s="1"/>
      </tp>
      <tp>
        <v>1</v>
        <stp>cqgrtdserver</stp>
        <stp>ContractData</stp>
        <stp>F.US.ENQU15</stp>
        <stp>VolumeLastTrade</stp>
        <tr r="H5" s="1"/>
      </tp>
      <tp t="s">
        <v/>
        <stp>cqgrtdserver</stp>
        <stp>ContractData</stp>
        <stp>F.US.EPU15</stp>
        <stp>Gamma</stp>
        <tr r="P3" s="1"/>
      </tp>
      <tp t="s">
        <v/>
        <stp>cqgrtdserver</stp>
        <stp>ContractData</stp>
        <stp>F.US.DDU15</stp>
        <stp>Delta</stp>
        <tr r="O4" s="1"/>
        <tr r="O20" s="1"/>
      </tp>
      <tp>
        <v>42206</v>
        <stp>cqgrtdserver</stp>
        <stp>ContractData</stp>
        <stp>F.US.CLES1Q15</stp>
        <stp>ExpirationDate</stp>
        <tr r="K10" s="1"/>
      </tp>
      <tp>
        <v>113970</v>
        <stp>cqgrtdserver</stp>
        <stp>ContractData</stp>
        <stp>F.US.DDU15</stp>
        <stp>Bid</stp>
        <stp/>
        <stp>D</stp>
        <tr r="C4" s="1"/>
        <tr r="C20" s="1"/>
      </tp>
      <tp>
        <v>113995</v>
        <stp>cqgrtdserver</stp>
        <stp>ContractData</stp>
        <stp>F.US.DDU15</stp>
        <stp>Ask</stp>
        <stp/>
        <stp>D</stp>
        <tr r="E20" s="1"/>
        <tr r="E4" s="1"/>
      </tp>
      <tp t="s">
        <v/>
        <stp>cqgrtdserver</stp>
        <stp>ContractData</stp>
        <stp>F.US.DDU15</stp>
        <stp>Gamma</stp>
        <tr r="P4" s="1"/>
        <tr r="P20" s="1"/>
      </tp>
      <tp t="s">
        <v/>
        <stp>cqgrtdserver</stp>
        <stp>ContractData</stp>
        <stp>F.US.EPU15</stp>
        <stp>Delta</stp>
        <tr r="O3" s="1"/>
      </tp>
      <tp>
        <v>17.75</v>
        <stp>cqgrtdserver</stp>
        <stp>ContractData</stp>
        <stp>P.US.USAQ1514900</stp>
        <stp>ImpliedVolatility</stp>
        <tr r="L19" s="1"/>
      </tp>
      <tp>
        <v>14.1</v>
        <stp>cqgrtdserver</stp>
        <stp>ContractData</stp>
        <stp>C.US.USAQ1514900</stp>
        <stp>ImpliedVolatility</stp>
        <tr r="L18" s="1"/>
      </tp>
      <tp>
        <v>-133</v>
        <stp>cqgrtdserver</stp>
        <stp>ContractData</stp>
        <stp>F.US.CLES3Q15</stp>
        <stp>Y_Close</stp>
        <stp/>
        <stp>D</stp>
        <tr r="J12" s="1"/>
      </tp>
      <tp>
        <v>24.439926080219035</v>
        <stp>cqgrtdserver</stp>
        <stp>ContractData</stp>
        <stp>P.US.ENQN1544200</stp>
        <stp>AverageVolatility</stp>
        <tr r="M17" s="1"/>
      </tp>
      <tp>
        <v>22.130726183604722</v>
        <stp>cqgrtdserver</stp>
        <stp>ContractData</stp>
        <stp>C.US.ENQN1544200</stp>
        <stp>AverageVolatility</stp>
        <tr r="M16" s="1"/>
      </tp>
      <tp t="s">
        <v/>
        <stp>cqgrtdserver</stp>
        <stp>ContractData</stp>
        <stp>F.US.CLES2Z17</stp>
        <stp>ImpliedVolatility</stp>
        <tr r="L11" s="1"/>
      </tp>
      <tp t="s">
        <v/>
        <stp>cqgrtdserver</stp>
        <stp>ContractData</stp>
        <stp>F.US.NGEQ15</stp>
        <stp>Vega</stp>
        <tr r="S7" s="1"/>
      </tp>
      <tp>
        <v>5290</v>
        <stp>cqgrtdserver</stp>
        <stp>ContractData</stp>
        <stp>F.US.CLEQ15</stp>
        <stp>Ask</stp>
        <stp/>
        <stp>D</stp>
        <tr r="E6" s="1"/>
      </tp>
      <tp>
        <v>2786</v>
        <stp>cqgrtdserver</stp>
        <stp>ContractData</stp>
        <stp>F.US.NGEQ15</stp>
        <stp>Ask</stp>
        <stp/>
        <stp>D</stp>
        <tr r="E7" s="1"/>
      </tp>
      <tp>
        <v>2769</v>
        <stp>cqgrtdserver</stp>
        <stp>ContractData</stp>
        <stp>F.US.NGEQ15</stp>
        <stp>Bid</stp>
        <stp/>
        <stp>D</stp>
        <tr r="C7" s="1"/>
      </tp>
      <tp>
        <v>5278</v>
        <stp>cqgrtdserver</stp>
        <stp>ContractData</stp>
        <stp>F.US.CLEQ15</stp>
        <stp>Bid</stp>
        <stp/>
        <stp>D</stp>
        <tr r="C6" s="1"/>
      </tp>
      <tp>
        <v>-23</v>
        <stp>cqgrtdserver</stp>
        <stp>ContractData</stp>
        <stp>F.US.CLES2Z17</stp>
        <stp>Y_Close</stp>
        <stp/>
        <stp>D</stp>
        <tr r="J11" s="1"/>
      </tp>
      <tp>
        <v>1</v>
        <stp>cqgrtdserver</stp>
        <stp>ContractData</stp>
        <stp>F.US.NGEQ15</stp>
        <stp>VolumeLastTrade</stp>
        <tr r="H7" s="1"/>
      </tp>
      <tp>
        <v>1</v>
        <stp>cqgrtdserver</stp>
        <stp>ContractData</stp>
        <stp>F.US.CLEQ15</stp>
        <stp>VolumeLastTrade</stp>
        <tr r="H6" s="1"/>
      </tp>
      <tp>
        <v>-46</v>
        <stp>cqgrtdserver</stp>
        <stp>ContractData</stp>
        <stp>F.US.CLES1Q15</stp>
        <stp>Y_Close</stp>
        <stp/>
        <stp>D</stp>
        <tr r="J10" s="1"/>
      </tp>
      <tp t="s">
        <v/>
        <stp>cqgrtdserver</stp>
        <stp>ContractData</stp>
        <stp>F.US.CLES3Q15</stp>
        <stp>ImpliedVolatility</stp>
        <tr r="L12" s="1"/>
      </tp>
      <tp t="s">
        <v/>
        <stp>cqgrtdserver</stp>
        <stp>ContractData</stp>
        <stp>F.US.CLES1Q15</stp>
        <stp>ImpliedVolatility</stp>
        <tr r="L10" s="1"/>
      </tp>
      <tp>
        <v>4850</v>
        <stp>cqgrtdserver</stp>
        <stp>ContractData</stp>
        <stp>P.US.ENQN1544200</stp>
        <stp>LastTrade</stp>
        <stp/>
        <stp>D</stp>
        <tr r="G17" s="1"/>
      </tp>
      <tp>
        <v>4300</v>
        <stp>cqgrtdserver</stp>
        <stp>ContractData</stp>
        <stp>C.US.ENQN1544200</stp>
        <stp>LastTrade</stp>
        <stp/>
        <stp>D</stp>
        <tr r="G16" s="1"/>
      </tp>
      <tp t="s">
        <v/>
        <stp>cqgrtdserver</stp>
        <stp>ContractData</stp>
        <stp>F.US.DDU15</stp>
        <stp>Strike</stp>
        <stp/>
        <stp>D</stp>
        <tr r="I20" s="1"/>
        <tr r="I4" s="1"/>
      </tp>
      <tp t="s">
        <v/>
        <stp>cqgrtdserver</stp>
        <stp>ContractData</stp>
        <stp>F.US.EPU15</stp>
        <stp>Strike</stp>
        <stp/>
        <stp>D</stp>
        <tr r="I3" s="1"/>
      </tp>
      <tp>
        <v>23.048953278539148</v>
        <stp>cqgrtdserver</stp>
        <stp>ContractData</stp>
        <stp>C.US.EPN1520700</stp>
        <stp>AverageVolatility</stp>
        <tr r="M15" s="1"/>
      </tp>
      <tp>
        <v>23.263764808156708</v>
        <stp>cqgrtdserver</stp>
        <stp>ContractData</stp>
        <stp>P.US.EPN1520700</stp>
        <stp>AverageVolatility</stp>
        <tr r="M14" s="1"/>
      </tp>
      <tp t="s">
        <v/>
        <stp>cqgrtdserver</stp>
        <stp>ContractData</stp>
        <stp>C.US.USAQ1514900</stp>
        <stp>Bid</stp>
        <stp/>
        <stp>D</stp>
        <tr r="C18" s="1"/>
      </tp>
      <tp t="s">
        <v/>
        <stp>cqgrtdserver</stp>
        <stp>ContractData</stp>
        <stp>C.US.USAQ1514900</stp>
        <stp>Ask</stp>
        <stp/>
        <stp>D</stp>
        <tr r="E18" s="1"/>
      </tp>
      <tp t="s">
        <v/>
        <stp>cqgrtdserver</stp>
        <stp>ContractData</stp>
        <stp>F.US.USAU15</stp>
        <stp>Vega</stp>
        <tr r="S8" s="1"/>
      </tp>
      <tp t="s">
        <v>F.US.EPU15</v>
        <stp>cqgrtdserver</stp>
        <stp>ContractData</stp>
        <stp>EP</stp>
        <stp>LongSymbol</stp>
        <tr r="B3" s="1"/>
      </tp>
      <tp t="s">
        <v>F.US.DDU15</v>
        <stp>cqgrtdserver</stp>
        <stp>ContractData</stp>
        <stp>DD</stp>
        <stp>LongSymbol</stp>
        <tr r="B4" s="1"/>
      </tp>
      <tp t="s">
        <v>F.US.DDU15</v>
        <stp>cqgrtdserver</stp>
        <stp>ContractData</stp>
        <stp>Q1</stp>
        <stp>LongSymbol</stp>
        <tr r="B20" s="1"/>
      </tp>
      <tp>
        <v>14.272738929909194</v>
        <stp>cqgrtdserver</stp>
        <stp>ContractData</stp>
        <stp>C.US.USAQ1514900</stp>
        <stp>AverageVolatility</stp>
        <tr r="M18" s="1"/>
      </tp>
      <tp t="s">
        <v>C.US.ENQN1544200</v>
        <stp>cqgrtdserver</stp>
        <stp>ContractData</stp>
        <stp>C.ENQ</stp>
        <stp>LongSymbol</stp>
        <tr r="B16" s="1"/>
      </tp>
      <tp t="s">
        <v>P.US.ENQN1544200</v>
        <stp>cqgrtdserver</stp>
        <stp>ContractData</stp>
        <stp>P.ENQ</stp>
        <stp>LongSymbol</stp>
        <tr r="B17" s="1"/>
      </tp>
      <tp>
        <v>17.922456934083709</v>
        <stp>cqgrtdserver</stp>
        <stp>ContractData</stp>
        <stp>P.US.USAQ1514900</stp>
        <stp>AverageVolatility</stp>
        <tr r="M19" s="1"/>
      </tp>
      <tp t="s">
        <v>P.US.USAQ1514900</v>
        <stp>cqgrtdserver</stp>
        <stp>ContractData</stp>
        <stp>P.USA</stp>
        <stp>LongSymbol</stp>
        <tr r="B19" s="1"/>
      </tp>
      <tp t="s">
        <v>C.US.USAQ1514900</v>
        <stp>cqgrtdserver</stp>
        <stp>ContractData</stp>
        <stp>C.USA</stp>
        <stp>LongSymbol</stp>
        <tr r="B18" s="1"/>
      </tp>
      <tp>
        <v>-3.5999999999999997E-2</v>
        <stp>cqgrtdserver</stp>
        <stp>ContractData</stp>
        <stp>P.US.USAQ1514900</stp>
        <stp>Rho</stp>
        <tr r="Q19" s="1"/>
      </tp>
      <tp>
        <v>-3.6999999999999998E-2</v>
        <stp>cqgrtdserver</stp>
        <stp>ContractData</stp>
        <stp>C.US.USAQ1514900</stp>
        <stp>Rho</stp>
        <tr r="Q18" s="1"/>
      </tp>
      <tp>
        <v>22.03</v>
        <stp>cqgrtdserver</stp>
        <stp>ContractData</stp>
        <stp>C.US.ENQN1544200</stp>
        <stp>ImpliedVolatility</stp>
        <tr r="L16" s="1"/>
      </tp>
      <tp>
        <v>24.34</v>
        <stp>cqgrtdserver</stp>
        <stp>ContractData</stp>
        <stp>P.US.ENQN1544200</stp>
        <stp>ImpliedVolatility</stp>
        <tr r="L17" s="1"/>
      </tp>
      <tp t="s">
        <v/>
        <stp>cqgrtdserver</stp>
        <stp>ContractData</stp>
        <stp>F.US.CLES2Z17</stp>
        <stp>AverageVolatility</stp>
        <tr r="M11" s="1"/>
      </tp>
      <tp>
        <v>441725</v>
        <stp>cqgrtdserver</stp>
        <stp>ContractData</stp>
        <stp>F.US.ENQU15</stp>
        <stp>Ask</stp>
        <stp/>
        <stp>D</stp>
        <tr r="E5" s="1"/>
      </tp>
      <tp>
        <v>441175</v>
        <stp>cqgrtdserver</stp>
        <stp>ContractData</stp>
        <stp>F.US.ENQU15</stp>
        <stp>Bid</stp>
        <stp/>
        <stp>D</stp>
        <tr r="C5" s="1"/>
      </tp>
      <tp t="s">
        <v/>
        <stp>cqgrtdserver</stp>
        <stp>ContractData</stp>
        <stp>P.US.ENQN1544200</stp>
        <stp>Ask</stp>
        <stp/>
        <stp>D</stp>
        <tr r="E17" s="1"/>
      </tp>
      <tp t="s">
        <v/>
        <stp>cqgrtdserver</stp>
        <stp>ContractData</stp>
        <stp>P.US.ENQN1544200</stp>
        <stp>Bid</stp>
        <stp/>
        <stp>D</stp>
        <tr r="C17" s="1"/>
      </tp>
      <tp>
        <v>144.19999999999999</v>
        <stp>cqgrtdserver</stp>
        <stp>ContractData</stp>
        <stp>P.US.USAQ1514900</stp>
        <stp>TheoreticalValue</stp>
        <tr r="N19" s="1"/>
      </tp>
      <tp>
        <v>149.1</v>
        <stp>cqgrtdserver</stp>
        <stp>ContractData</stp>
        <stp>C.US.USAQ1514900</stp>
        <stp>TheoreticalValue</stp>
        <tr r="N18" s="1"/>
      </tp>
      <tp t="s">
        <v/>
        <stp>cqgrtdserver</stp>
        <stp>ContractData</stp>
        <stp>F.US.CLES1Q15</stp>
        <stp>AverageVolatility</stp>
        <tr r="M10" s="1"/>
      </tp>
      <tp t="s">
        <v/>
        <stp>cqgrtdserver</stp>
        <stp>ContractData</stp>
        <stp>F.US.CLES3Q15</stp>
        <stp>AverageVolatility</stp>
        <tr r="M12" s="1"/>
      </tp>
      <tp t="s">
        <v>F.US.NGEQ15</v>
        <stp>cqgrtdserver</stp>
        <stp>ContractData</stp>
        <stp>NGE</stp>
        <stp>LongSymbol</stp>
        <tr r="B7" s="1"/>
      </tp>
      <tp t="s">
        <v>F.US.EDAZ16</v>
        <stp>cqgrtdserver</stp>
        <stp>ContractData</stp>
        <stp>EDA</stp>
        <stp>LongSymbol</stp>
        <tr r="B9" s="1"/>
      </tp>
      <tp t="s">
        <v>F.US.ENQU15</v>
        <stp>cqgrtdserver</stp>
        <stp>ContractData</stp>
        <stp>ENQ</stp>
        <stp>LongSymbol</stp>
        <tr r="B5" s="1"/>
      </tp>
      <tp t="s">
        <v>F.US.CLEQ15</v>
        <stp>cqgrtdserver</stp>
        <stp>ContractData</stp>
        <stp>CLE</stp>
        <stp>LongSymbol</stp>
        <tr r="B6" s="1"/>
      </tp>
      <tp t="s">
        <v>F.US.USAU15</v>
        <stp>cqgrtdserver</stp>
        <stp>ContractData</stp>
        <stp>USA</stp>
        <stp>LongSymbol</stp>
        <tr r="B8" s="1"/>
      </tp>
      <tp>
        <v>206975</v>
        <stp>cqgrtdserver</stp>
        <stp>ContractData</stp>
        <stp>F.US.EPU15</stp>
        <stp>Bid</stp>
        <stp/>
        <stp>D</stp>
        <tr r="C3" s="1"/>
      </tp>
      <tp>
        <v>207175</v>
        <stp>cqgrtdserver</stp>
        <stp>ContractData</stp>
        <stp>F.US.EPU15</stp>
        <stp>Ask</stp>
        <stp/>
        <stp>D</stp>
        <tr r="E3" s="1"/>
      </tp>
      <tp t="s">
        <v/>
        <stp>cqgrtdserver</stp>
        <stp>ContractData</stp>
        <stp>F.US.EPU15</stp>
        <stp>Vega</stp>
        <tr r="S3" s="1"/>
      </tp>
      <tp t="s">
        <v/>
        <stp>cqgrtdserver</stp>
        <stp>ContractData</stp>
        <stp>F.US.DDU15</stp>
        <stp>Vega</stp>
        <tr r="S20" s="1"/>
        <tr r="S4" s="1"/>
      </tp>
      <tp t="s">
        <v/>
        <stp>cqgrtdserver</stp>
        <stp>ContractData</stp>
        <stp>F.US.EDAZ16</stp>
        <stp>ImpliedVolatility</stp>
        <tr r="L9" s="1"/>
      </tp>
      <tp t="s">
        <v/>
        <stp>cqgrtdserver</stp>
        <stp>ContractData</stp>
        <stp>F.US.NGEQ15</stp>
        <stp>ImpliedVolatility</stp>
        <tr r="L7" s="1"/>
      </tp>
      <tp t="s">
        <v/>
        <stp>cqgrtdserver</stp>
        <stp>ContractData</stp>
        <stp>F.US.USAU15</stp>
        <stp>AverageVolatility</stp>
        <tr r="M8" s="1"/>
      </tp>
      <tp>
        <v>-0.30299999999999999</v>
        <stp>cqgrtdserver</stp>
        <stp>ContractData</stp>
        <stp>C.US.EPN1520700</stp>
        <stp>Rho</stp>
        <tr r="Q15" s="1"/>
      </tp>
      <tp t="s">
        <v/>
        <stp>cqgrtdserver</stp>
        <stp>ContractData</stp>
        <stp>F.US.CLEQ15</stp>
        <stp>ImpliedVolatility</stp>
        <tr r="L6" s="1"/>
      </tp>
      <tp>
        <v>-46</v>
        <stp>cqgrtdserver</stp>
        <stp>ContractData</stp>
        <stp>F.US.CLES1Q15</stp>
        <stp>LastTrade</stp>
        <stp/>
        <stp>D</stp>
        <tr r="G10" s="1"/>
      </tp>
      <tp>
        <v>-140</v>
        <stp>cqgrtdserver</stp>
        <stp>ContractData</stp>
        <stp>F.US.CLES3Q15</stp>
        <stp>LastTrade</stp>
        <stp/>
        <stp>D</stp>
        <tr r="G12" s="1"/>
      </tp>
      <tp t="s">
        <v/>
        <stp>cqgrtdserver</stp>
        <stp>ContractData</stp>
        <stp>F.US.CLES2Z17</stp>
        <stp>LastTrade</stp>
        <stp/>
        <stp>D</stp>
        <tr r="G11" s="1"/>
      </tp>
      <tp t="s">
        <v/>
        <stp>cqgrtdserver</stp>
        <stp>ContractData</stp>
        <stp>F.US.ENQU15</stp>
        <stp>ImpliedVolatility</stp>
        <tr r="L5" s="1"/>
      </tp>
      <tp>
        <v>10000</v>
        <stp>cqgrtdserver</stp>
        <stp>ContractData</stp>
        <stp>P.US.EPN1520700</stp>
        <stp>Ask</stp>
        <stp/>
        <stp>D</stp>
        <tr r="E14" s="1"/>
      </tp>
      <tp>
        <v>1500</v>
        <stp>cqgrtdserver</stp>
        <stp>ContractData</stp>
        <stp>P.US.EPN1520700</stp>
        <stp>Bid</stp>
        <stp/>
        <stp>D</stp>
        <tr r="C14" s="1"/>
      </tp>
      <tp>
        <v>500</v>
        <stp>cqgrtdserver</stp>
        <stp>ContractData</stp>
        <stp>C.US.EPN1520700</stp>
        <stp>Bid</stp>
        <stp/>
        <stp>D</stp>
        <tr r="C15" s="1"/>
      </tp>
      <tp>
        <v>7000</v>
        <stp>cqgrtdserver</stp>
        <stp>ContractData</stp>
        <stp>C.US.EPN1520700</stp>
        <stp>Ask</stp>
        <stp/>
        <stp>D</stp>
        <tr r="E15" s="1"/>
      </tp>
      <tp>
        <v>96.631</v>
        <stp>cqgrtdserver</stp>
        <stp>ContractData</stp>
        <stp>C.US.EPN1520700</stp>
        <stp>Vega</stp>
        <tr r="S15" s="1"/>
      </tp>
      <tp>
        <v>96.637</v>
        <stp>cqgrtdserver</stp>
        <stp>ContractData</stp>
        <stp>P.US.EPN1520700</stp>
        <stp>Vega</stp>
        <tr r="S14" s="1"/>
      </tp>
      <tp t="s">
        <v/>
        <stp>cqgrtdserver</stp>
        <stp>ContractData</stp>
        <stp>F.US.USAU15</stp>
        <stp>ImpliedVolatility</stp>
        <tr r="L8" s="1"/>
      </tp>
      <tp t="s">
        <v/>
        <stp>cqgrtdserver</stp>
        <stp>ContractData</stp>
        <stp>F.US.NGEQ15</stp>
        <stp>AverageVolatility</stp>
        <tr r="M7" s="1"/>
      </tp>
      <tp t="s">
        <v/>
        <stp>cqgrtdserver</stp>
        <stp>ContractData</stp>
        <stp>F.US.EDAZ16</stp>
        <stp>AverageVolatility</stp>
        <tr r="M9" s="1"/>
      </tp>
      <tp>
        <v>8</v>
        <stp>cqgrtdserver</stp>
        <stp>ContractData</stp>
        <stp>F.US.EPU15</stp>
        <stp>VolumeLastTrade</stp>
        <tr r="H3" s="1"/>
      </tp>
      <tp>
        <v>28</v>
        <stp>cqgrtdserver</stp>
        <stp>ContractData</stp>
        <stp>F.US.DDU15</stp>
        <stp>VolumeLastTrade</stp>
        <tr r="H20" s="1"/>
        <tr r="H4" s="1"/>
      </tp>
      <tp>
        <v>-0.30199999999999999</v>
        <stp>cqgrtdserver</stp>
        <stp>ContractData</stp>
        <stp>P.US.EPN1520700</stp>
        <stp>Rho</stp>
        <tr r="Q14" s="1"/>
      </tp>
      <tp t="s">
        <v/>
        <stp>cqgrtdserver</stp>
        <stp>ContractData</stp>
        <stp>F.US.CLES2Z17</stp>
        <stp>TheoreticalValue</stp>
        <tr r="N11" s="1"/>
      </tp>
      <tp t="s">
        <v/>
        <stp>cqgrtdserver</stp>
        <stp>ContractData</stp>
        <stp>F.US.CLES1Q15</stp>
        <stp>TheoreticalValue</stp>
        <tr r="N10" s="1"/>
      </tp>
      <tp t="s">
        <v/>
        <stp>cqgrtdserver</stp>
        <stp>ContractData</stp>
        <stp>F.US.CLES3Q15</stp>
        <stp>TheoreticalValue</stp>
        <tr r="N12" s="1"/>
      </tp>
      <tp t="s">
        <v/>
        <stp>cqgrtdserver</stp>
        <stp>ContractData</stp>
        <stp>F.US.CLEQ15</stp>
        <stp>AverageVolatility</stp>
        <tr r="M6" s="1"/>
      </tp>
      <tp t="s">
        <v/>
        <stp>cqgrtdserver</stp>
        <stp>ContractData</stp>
        <stp>F.US.ENQU15</stp>
        <stp>AverageVolatility</stp>
        <tr r="M5" s="1"/>
      </tp>
      <tp t="s">
        <v>P.US.EPN1520700</v>
        <stp>cqgrtdserver</stp>
        <stp>ContractData</stp>
        <stp>P.EP</stp>
        <stp>LongSymbol</stp>
        <tr r="B14" s="1"/>
      </tp>
      <tp>
        <v>2075</v>
        <stp>cqgrtdserver</stp>
        <stp>ContractData</stp>
        <stp>C.US.EPN1520700</stp>
        <stp>LastTrade</stp>
        <stp/>
        <stp>D</stp>
        <tr r="G15" s="1"/>
      </tp>
      <tp>
        <v>1975</v>
        <stp>cqgrtdserver</stp>
        <stp>ContractData</stp>
        <stp>P.US.EPN1520700</stp>
        <stp>LastTrade</stp>
        <stp/>
        <stp>D</stp>
        <tr r="G14" s="1"/>
      </tp>
      <tp t="s">
        <v/>
        <stp>cqgrtdserver</stp>
        <stp>ContractData</stp>
        <stp>F.US.DDU15</stp>
        <stp>TheoreticalValue</stp>
        <tr r="N20" s="1"/>
        <tr r="N4" s="1"/>
      </tp>
      <tp t="s">
        <v/>
        <stp>cqgrtdserver</stp>
        <stp>ContractData</stp>
        <stp>F.US.EPU15</stp>
        <stp>TheoreticalValue</stp>
        <tr r="N3" s="1"/>
      </tp>
      <tp t="s">
        <v/>
        <stp>cqgrtdserver</stp>
        <stp>ContractData</stp>
        <stp>F.US.ENQU15</stp>
        <stp>Strike</stp>
        <stp/>
        <stp>D</stp>
        <tr r="I5" s="1"/>
      </tp>
      <tp t="s">
        <v/>
        <stp>cqgrtdserver</stp>
        <stp>ContractData</stp>
        <stp>F.US.USAU15</stp>
        <stp>Delta</stp>
        <tr r="O8" s="1"/>
      </tp>
      <tp t="s">
        <v/>
        <stp>cqgrtdserver</stp>
        <stp>ContractData</stp>
        <stp>F.US.CLEQ15</stp>
        <stp>Strike</stp>
        <stp/>
        <stp>D</stp>
        <tr r="I6" s="1"/>
      </tp>
      <tp t="s">
        <v/>
        <stp>cqgrtdserver</stp>
        <stp>ContractData</stp>
        <stp>F.US.USAU15</stp>
        <stp>Gamma</stp>
        <tr r="P8" s="1"/>
      </tp>
      <tp>
        <v>2</v>
        <stp>cqgrtdserver</stp>
        <stp>ContractData</stp>
        <stp>F.US.USAU15</stp>
        <stp>VolumeLastBid</stp>
        <tr r="D8" s="1"/>
      </tp>
      <tp>
        <v>1</v>
        <stp>cqgrtdserver</stp>
        <stp>ContractData</stp>
        <stp>F.US.USAU15</stp>
        <stp>VolumeLastAsk</stp>
        <tr r="F8" s="1"/>
      </tp>
      <tp>
        <v>1</v>
        <stp>cqgrtdserver</stp>
        <stp>ContractData</stp>
        <stp>P.US.EPN1520700</stp>
        <stp>VolumeLastTrade</stp>
        <tr r="H14" s="1"/>
      </tp>
      <tp t="s">
        <v/>
        <stp>cqgrtdserver</stp>
        <stp>ContractData</stp>
        <stp>F.US.NGEQ15</stp>
        <stp>Strike</stp>
        <stp/>
        <stp>D</stp>
        <tr r="I7" s="1"/>
      </tp>
      <tp t="s">
        <v/>
        <stp>cqgrtdserver</stp>
        <stp>ContractData</stp>
        <stp>F.US.EDAZ16</stp>
        <stp>Strike</stp>
        <stp/>
        <stp>D</stp>
        <tr r="I9" s="1"/>
      </tp>
      <tp t="s">
        <v/>
        <stp>cqgrtdserver</stp>
        <stp>ContractData</stp>
        <stp>F.US.EPU15</stp>
        <stp>Rho</stp>
        <tr r="Q3" s="1"/>
      </tp>
      <tp t="s">
        <v/>
        <stp>cqgrtdserver</stp>
        <stp>ContractData</stp>
        <stp>F.US.DDU15</stp>
        <stp>Rho</stp>
        <tr r="Q20" s="1"/>
        <tr r="Q4" s="1"/>
      </tp>
      <tp t="s">
        <v/>
        <stp>cqgrtdserver</stp>
        <stp>ContractData</stp>
        <stp>F.US.USAU15</stp>
        <stp>Theta</stp>
        <tr r="R8" s="1"/>
      </tp>
      <tp t="s">
        <v/>
        <stp>cqgrtdserver</stp>
        <stp>ContractData</stp>
        <stp>F.US.CLEQ15</stp>
        <stp>Theta</stp>
        <tr r="R6" s="1"/>
      </tp>
      <tp t="s">
        <v>C.US.EPN1520700</v>
        <stp>cqgrtdserver</stp>
        <stp>ContractData</stp>
        <stp>C.EP</stp>
        <stp>LongSymbol</stp>
        <tr r="B15" s="1"/>
      </tp>
      <tp t="s">
        <v/>
        <stp>cqgrtdserver</stp>
        <stp>ContractData</stp>
        <stp>F.US.ENQU15</stp>
        <stp>Theta</stp>
        <tr r="R5" s="1"/>
      </tp>
      <tp t="s">
        <v/>
        <stp>cqgrtdserver</stp>
        <stp>ContractData</stp>
        <stp>F.US.EDAZ16</stp>
        <stp>Delta</stp>
        <tr r="O9" s="1"/>
      </tp>
      <tp t="s">
        <v/>
        <stp>cqgrtdserver</stp>
        <stp>ContractData</stp>
        <stp>F.US.NGEQ15</stp>
        <stp>Delta</stp>
        <tr r="O7" s="1"/>
      </tp>
      <tp t="s">
        <v/>
        <stp>cqgrtdserver</stp>
        <stp>ContractData</stp>
        <stp>F.US.EDAZ16</stp>
        <stp>Gamma</stp>
        <tr r="P9" s="1"/>
      </tp>
      <tp t="s">
        <v/>
        <stp>cqgrtdserver</stp>
        <stp>ContractData</stp>
        <stp>F.US.NGEQ15</stp>
        <stp>Gamma</stp>
        <tr r="P7" s="1"/>
      </tp>
      <tp>
        <v>1</v>
        <stp>cqgrtdserver</stp>
        <stp>ContractData</stp>
        <stp>F.US.CLEQ15</stp>
        <stp>VolumeLastAsk</stp>
        <tr r="F6" s="1"/>
      </tp>
      <tp>
        <v>1</v>
        <stp>cqgrtdserver</stp>
        <stp>ContractData</stp>
        <stp>F.US.ENQU15</stp>
        <stp>VolumeLastBid</stp>
        <tr r="D5" s="1"/>
      </tp>
      <tp>
        <v>1</v>
        <stp>cqgrtdserver</stp>
        <stp>ContractData</stp>
        <stp>F.US.ENQU15</stp>
        <stp>VolumeLastAsk</stp>
        <tr r="F5" s="1"/>
      </tp>
      <tp>
        <v>22.061</v>
        <stp>cqgrtdserver</stp>
        <stp>ContractData</stp>
        <stp>P.US.EPN1520700</stp>
        <stp>TheoreticalValue</stp>
        <tr r="N14" s="1"/>
      </tp>
      <tp>
        <v>22.134</v>
        <stp>cqgrtdserver</stp>
        <stp>ContractData</stp>
        <stp>C.US.EPN1520700</stp>
        <stp>TheoreticalValue</stp>
        <tr r="N15" s="1"/>
      </tp>
      <tp>
        <v>207050</v>
        <stp>cqgrtdserver</stp>
        <stp>ContractData</stp>
        <stp>F.US.EPU15</stp>
        <stp>LastTrade</stp>
        <stp/>
        <stp>D</stp>
        <tr r="G3" s="1"/>
      </tp>
      <tp>
        <v>113995</v>
        <stp>cqgrtdserver</stp>
        <stp>ContractData</stp>
        <stp>F.US.DDU15</stp>
        <stp>LastTrade</stp>
        <stp/>
        <stp>D</stp>
        <tr r="G4" s="1"/>
        <tr r="G20" s="1"/>
      </tp>
      <tp>
        <v>1</v>
        <stp>cqgrtdserver</stp>
        <stp>ContractData</stp>
        <stp>F.US.CLEQ15</stp>
        <stp>VolumeLastBid</stp>
        <tr r="D6" s="1"/>
      </tp>
      <tp t="s">
        <v/>
        <stp>cqgrtdserver</stp>
        <stp>ContractData</stp>
        <stp>F.US.USAU15</stp>
        <stp>Strike</stp>
        <stp/>
        <stp>D</stp>
        <tr r="I8" s="1"/>
      </tp>
      <tp t="s">
        <v/>
        <stp>cqgrtdserver</stp>
        <stp>ContractData</stp>
        <stp>F.US.CLEQ15</stp>
        <stp>Gamma</stp>
        <tr r="P6" s="1"/>
      </tp>
      <tp t="s">
        <v/>
        <stp>cqgrtdserver</stp>
        <stp>ContractData</stp>
        <stp>F.US.CLEQ15</stp>
        <stp>Delta</stp>
        <tr r="O6" s="1"/>
      </tp>
      <tp>
        <v>1225</v>
        <stp>cqgrtdserver</stp>
        <stp>ContractData</stp>
        <stp>C.US.EPN1520700</stp>
        <stp>Y_Close</stp>
        <stp/>
        <stp>D</stp>
        <tr r="J15" s="1"/>
      </tp>
      <tp>
        <v>4100</v>
        <stp>cqgrtdserver</stp>
        <stp>ContractData</stp>
        <stp>P.US.EPN1520700</stp>
        <stp>Y_Close</stp>
        <stp/>
        <stp>D</stp>
        <tr r="J14" s="1"/>
      </tp>
      <tp t="s">
        <v/>
        <stp>cqgrtdserver</stp>
        <stp>ContractData</stp>
        <stp>F.US.ENQU15</stp>
        <stp>Gamma</stp>
        <tr r="P5" s="1"/>
      </tp>
      <tp t="s">
        <v/>
        <stp>cqgrtdserver</stp>
        <stp>ContractData</stp>
        <stp>F.US.ENQU15</stp>
        <stp>Delta</stp>
        <tr r="O5" s="1"/>
      </tp>
      <tp t="s">
        <v/>
        <stp>cqgrtdserver</stp>
        <stp>ContractData</stp>
        <stp>F.US.EDAZ16</stp>
        <stp>Theta</stp>
        <tr r="R9" s="1"/>
      </tp>
      <tp t="s">
        <v/>
        <stp>cqgrtdserver</stp>
        <stp>ContractData</stp>
        <stp>F.US.NGEQ15</stp>
        <stp>Theta</stp>
        <tr r="R7" s="1"/>
      </tp>
      <tp t="s">
        <v/>
        <stp>cqgrtdserver</stp>
        <stp>ContractData</stp>
        <stp>F.US.CLES1Q15</stp>
        <stp>Vega</stp>
        <tr r="S10" s="1"/>
      </tp>
      <tp t="s">
        <v/>
        <stp>cqgrtdserver</stp>
        <stp>ContractData</stp>
        <stp>F.US.CLES3Q15</stp>
        <stp>Vega</stp>
        <tr r="S12" s="1"/>
      </tp>
      <tp t="s">
        <v/>
        <stp>cqgrtdserver</stp>
        <stp>ContractData</stp>
        <stp>F.US.CLES2Z17</stp>
        <stp>Vega</stp>
        <tr r="S11" s="1"/>
      </tp>
      <tp>
        <v>1796</v>
        <stp>cqgrtdserver</stp>
        <stp>ContractData</stp>
        <stp>F.US.EDAZ16</stp>
        <stp>VolumeLastBid</stp>
        <tr r="D9" s="1"/>
      </tp>
      <tp>
        <v>15</v>
        <stp>cqgrtdserver</stp>
        <stp>ContractData</stp>
        <stp>F.US.NGEQ15</stp>
        <stp>VolumeLastBid</stp>
        <tr r="D7" s="1"/>
      </tp>
      <tp>
        <v>42202</v>
        <stp>cqgrtdserver</stp>
        <stp>ContractData</stp>
        <stp>P.US.EPN1520700</stp>
        <stp>ExpirationDate</stp>
        <tr r="K14" s="1"/>
      </tp>
      <tp>
        <v>42202</v>
        <stp>cqgrtdserver</stp>
        <stp>ContractData</stp>
        <stp>C.US.EPN1520700</stp>
        <stp>ExpirationDate</stp>
        <tr r="K15" s="1"/>
      </tp>
      <tp>
        <v>25</v>
        <stp>cqgrtdserver</stp>
        <stp>ContractData</stp>
        <stp>C.US.EPN1520700</stp>
        <stp>VolumeLastTrade</stp>
        <tr r="H15" s="1"/>
      </tp>
      <tp>
        <v>10</v>
        <stp>cqgrtdserver</stp>
        <stp>ContractData</stp>
        <stp>F.US.EDAZ16</stp>
        <stp>VolumeLastAsk</stp>
        <tr r="F9" s="1"/>
      </tp>
      <tp>
        <v>1</v>
        <stp>cqgrtdserver</stp>
        <stp>ContractData</stp>
        <stp>F.US.NGEQ15</stp>
        <stp>VolumeLastAsk</stp>
        <tr r="F7" s="1"/>
      </tp>
      <tp>
        <v>149150</v>
        <stp>cqgrtdserver</stp>
        <stp>ContractData</stp>
        <stp>F.US.USAU15</stp>
        <stp>LastTrade</stp>
        <stp/>
        <stp>D</stp>
        <tr r="G8" s="1"/>
      </tp>
      <tp>
        <v>-502.02699999999999</v>
        <stp>cqgrtdserver</stp>
        <stp>ContractData</stp>
        <stp>P.US.ENQN1544200</stp>
        <stp>Theta</stp>
        <tr r="R17" s="1"/>
      </tp>
      <tp>
        <v>-454.38099999999997</v>
        <stp>cqgrtdserver</stp>
        <stp>ContractData</stp>
        <stp>C.US.ENQN1544200</stp>
        <stp>Theta</stp>
        <tr r="R16" s="1"/>
      </tp>
      <tp>
        <v>42206</v>
        <stp>cqgrtdserver</stp>
        <stp>ContractData</stp>
        <stp>F.US.CLEQ15</stp>
        <stp>ExpirationDate</stp>
        <tr r="K6" s="1"/>
      </tp>
      <tp>
        <v>42214</v>
        <stp>cqgrtdserver</stp>
        <stp>ContractData</stp>
        <stp>F.US.NGEQ15</stp>
        <stp>ExpirationDate</stp>
        <tr r="K7" s="1"/>
      </tp>
      <tp t="s">
        <v/>
        <stp>cqgrtdserver</stp>
        <stp>ContractData</stp>
        <stp>F.US.CLES3Q15</stp>
        <stp>Strike</stp>
        <stp/>
        <stp>D</stp>
        <tr r="I12" s="1"/>
      </tp>
      <tp t="s">
        <v/>
        <stp>cqgrtdserver</stp>
        <stp>ContractData</stp>
        <stp>F.US.CLES1Q15</stp>
        <stp>Strike</stp>
        <stp/>
        <stp>D</stp>
        <tr r="I10" s="1"/>
      </tp>
      <tp>
        <v>151040</v>
        <stp>cqgrtdserver</stp>
        <stp>ContractData</stp>
        <stp>F.US.USAU15</stp>
        <stp>Y_Close</stp>
        <stp/>
        <stp>D</stp>
        <tr r="J8" s="1"/>
      </tp>
      <tp>
        <v>98735</v>
        <stp>cqgrtdserver</stp>
        <stp>ContractData</stp>
        <stp>F.US.EDAZ16</stp>
        <stp>Y_Close</stp>
        <stp/>
        <stp>D</stp>
        <tr r="J9" s="1"/>
      </tp>
      <tp>
        <v>2100</v>
        <stp>cqgrtdserver</stp>
        <stp>ContractData</stp>
        <stp>C.US.ENQN1544200</stp>
        <stp>Y_Close</stp>
        <stp/>
        <stp>D</stp>
        <tr r="J16" s="1"/>
      </tp>
      <tp>
        <v>206.232</v>
        <stp>cqgrtdserver</stp>
        <stp>ContractData</stp>
        <stp>C.US.ENQN1544200</stp>
        <stp>Vega</stp>
        <tr r="S16" s="1"/>
      </tp>
      <tp>
        <v>206.239</v>
        <stp>cqgrtdserver</stp>
        <stp>ContractData</stp>
        <stp>P.US.ENQN1544200</stp>
        <stp>Vega</stp>
        <tr r="S17" s="1"/>
      </tp>
      <tp>
        <v>14900</v>
        <stp>cqgrtdserver</stp>
        <stp>ContractData</stp>
        <stp>P.US.USAQ1514900</stp>
        <stp>Strike</stp>
        <stp/>
        <stp>D</stp>
        <tr r="I19" s="1"/>
      </tp>
      <tp>
        <v>14900</v>
        <stp>cqgrtdserver</stp>
        <stp>ContractData</stp>
        <stp>C.US.USAQ1514900</stp>
        <stp>Strike</stp>
        <stp/>
        <stp>D</stp>
        <tr r="I18" s="1"/>
      </tp>
      <tp>
        <v>6</v>
        <stp>cqgrtdserver</stp>
        <stp>ContractData</stp>
        <stp>P.US.USAQ1514900</stp>
        <stp>VolumeLastTrade</stp>
        <tr r="H19" s="1"/>
      </tp>
      <tp>
        <v>1</v>
        <stp>cqgrtdserver</stp>
        <stp>ContractData</stp>
        <stp>C.US.USAQ1514900</stp>
        <stp>VolumeLastTrade</stp>
        <tr r="H18" s="1"/>
      </tp>
      <tp t="s">
        <v/>
        <stp>cqgrtdserver</stp>
        <stp>ContractData</stp>
        <stp>F.US.CLES2Z17</stp>
        <stp>Strike</stp>
        <stp/>
        <stp>D</stp>
        <tr r="I11" s="1"/>
      </tp>
      <tp>
        <v>109580</v>
        <stp>cqgrtdserver</stp>
        <stp>ContractData</stp>
        <stp>F.US.DDU15</stp>
        <stp>Y_Close</stp>
        <stp/>
        <stp>D</stp>
        <tr r="J20" s="1"/>
        <tr r="J4" s="1"/>
      </tp>
      <tp t="s">
        <v/>
        <stp>cqgrtdserver</stp>
        <stp>ContractData</stp>
        <stp>F.US.EDAZ16</stp>
        <stp>TheoreticalValue</stp>
        <tr r="N9" s="1"/>
      </tp>
      <tp t="s">
        <v/>
        <stp>cqgrtdserver</stp>
        <stp>ContractData</stp>
        <stp>F.US.ENQU15</stp>
        <stp>TheoreticalValue</stp>
        <tr r="N5" s="1"/>
      </tp>
      <tp t="s">
        <v/>
        <stp>cqgrtdserver</stp>
        <stp>ContractData</stp>
        <stp>F.US.CLES3Q15</stp>
        <stp>Ask</stp>
        <stp/>
        <stp>D</stp>
        <tr r="E12" s="1"/>
      </tp>
      <tp t="s">
        <v/>
        <stp>cqgrtdserver</stp>
        <stp>ContractData</stp>
        <stp>F.US.CLES3Q15</stp>
        <stp>Bid</stp>
        <stp/>
        <stp>D</stp>
        <tr r="C12" s="1"/>
      </tp>
      <tp t="s">
        <v/>
        <stp>cqgrtdserver</stp>
        <stp>ContractData</stp>
        <stp>C.US.ENQN1544200</stp>
        <stp>VolumeLastAsk</stp>
        <tr r="F16" s="1"/>
      </tp>
      <tp t="s">
        <v/>
        <stp>cqgrtdserver</stp>
        <stp>ContractData</stp>
        <stp>P.US.ENQN1544200</stp>
        <stp>VolumeLastAsk</stp>
        <tr r="F17" s="1"/>
      </tp>
      <tp>
        <v>42723</v>
        <stp>cqgrtdserver</stp>
        <stp>ContractData</stp>
        <stp>F.US.EDAZ16</stp>
        <stp>ExpirationDate</stp>
        <tr r="K9" s="1"/>
      </tp>
      <tp>
        <v>42268</v>
        <stp>cqgrtdserver</stp>
        <stp>ContractData</stp>
        <stp>F.US.USAU15</stp>
        <stp>ExpirationDate</stp>
        <tr r="K8" s="1"/>
      </tp>
      <tp>
        <v>2729</v>
        <stp>cqgrtdserver</stp>
        <stp>ContractData</stp>
        <stp>F.US.NGEQ15</stp>
        <stp>Y_Close</stp>
        <stp/>
        <stp>D</stp>
        <tr r="J7" s="1"/>
      </tp>
      <tp>
        <v>5259</v>
        <stp>cqgrtdserver</stp>
        <stp>ContractData</stp>
        <stp>F.US.CLEQ15</stp>
        <stp>Y_Close</stp>
        <stp/>
        <stp>D</stp>
        <tr r="J6" s="1"/>
      </tp>
      <tp t="s">
        <v/>
        <stp>cqgrtdserver</stp>
        <stp>ContractData</stp>
        <stp>F.US.CLES2Z17</stp>
        <stp>Bid</stp>
        <stp/>
        <stp>D</stp>
        <tr r="C11" s="1"/>
      </tp>
      <tp t="s">
        <v/>
        <stp>cqgrtdserver</stp>
        <stp>ContractData</stp>
        <stp>F.US.CLES2Z17</stp>
        <stp>Ask</stp>
        <stp/>
        <stp>D</stp>
        <tr r="E11" s="1"/>
      </tp>
      <tp t="s">
        <v/>
        <stp>cqgrtdserver</stp>
        <stp>ContractData</stp>
        <stp>F.US.CLEQ15</stp>
        <stp>TheoreticalValue</stp>
        <tr r="N6" s="1"/>
      </tp>
      <tp>
        <v>42202</v>
        <stp>cqgrtdserver</stp>
        <stp>ContractData</stp>
        <stp>C.US.ENQN1544200</stp>
        <stp>ExpirationDate</stp>
        <tr r="K16" s="1"/>
      </tp>
      <tp>
        <v>-46</v>
        <stp>cqgrtdserver</stp>
        <stp>ContractData</stp>
        <stp>F.US.CLES1Q15</stp>
        <stp>Ask</stp>
        <stp/>
        <stp>D</stp>
        <tr r="E10" s="1"/>
      </tp>
      <tp>
        <v>-48</v>
        <stp>cqgrtdserver</stp>
        <stp>ContractData</stp>
        <stp>F.US.CLES1Q15</stp>
        <stp>Bid</stp>
        <stp/>
        <stp>D</stp>
        <tr r="C10" s="1"/>
      </tp>
      <tp>
        <v>42265</v>
        <stp>cqgrtdserver</stp>
        <stp>ContractData</stp>
        <stp>F.US.DDU15</stp>
        <stp>ExpirationDate</stp>
        <tr r="K20" s="1"/>
        <tr r="K4" s="1"/>
      </tp>
      <tp t="s">
        <v/>
        <stp>cqgrtdserver</stp>
        <stp>ContractData</stp>
        <stp>P.US.ENQN1544200</stp>
        <stp>VolumeLastBid</stp>
        <tr r="D17" s="1"/>
      </tp>
      <tp t="s">
        <v/>
        <stp>cqgrtdserver</stp>
        <stp>ContractData</stp>
        <stp>C.US.ENQN1544200</stp>
        <stp>VolumeLastBid</stp>
        <tr r="D16" s="1"/>
      </tp>
      <tp t="s">
        <v/>
        <stp>cqgrtdserver</stp>
        <stp>ContractData</stp>
        <stp>F.US.NGEQ15</stp>
        <stp>TheoreticalValue</stp>
        <tr r="N7" s="1"/>
      </tp>
      <tp>
        <v>3.5000000000000005E-3</v>
        <stp>cqgrtdserver</stp>
        <stp>ContractData</stp>
        <stp>C.US.ENQN1544200</stp>
        <stp>Gamma</stp>
        <tr r="P16" s="1"/>
      </tp>
      <tp>
        <v>3.1700000000000001E-3</v>
        <stp>cqgrtdserver</stp>
        <stp>ContractData</stp>
        <stp>P.US.ENQN1544200</stp>
        <stp>Gamma</stp>
        <tr r="P17" s="1"/>
      </tp>
      <tp>
        <v>42209</v>
        <stp>cqgrtdserver</stp>
        <stp>ContractData</stp>
        <stp>P.US.USAQ1514900</stp>
        <stp>ExpirationDate</stp>
        <tr r="K19" s="1"/>
      </tp>
      <tp>
        <v>-50.3</v>
        <stp>cqgrtdserver</stp>
        <stp>ContractData</stp>
        <stp>P.US.ENQN1544200</stp>
        <stp>Delta</stp>
        <tr r="O17" s="1"/>
      </tp>
      <tp>
        <v>49.55</v>
        <stp>cqgrtdserver</stp>
        <stp>ContractData</stp>
        <stp>C.US.ENQN1544200</stp>
        <stp>Delta</stp>
        <tr r="O16" s="1"/>
      </tp>
      <tp>
        <v>20700</v>
        <stp>cqgrtdserver</stp>
        <stp>ContractData</stp>
        <stp>C.US.EPN1520700</stp>
        <stp>Strike</stp>
        <stp/>
        <stp>D</stp>
        <tr r="I15" s="1"/>
      </tp>
      <tp>
        <v>20700</v>
        <stp>cqgrtdserver</stp>
        <stp>ContractData</stp>
        <stp>P.US.EPN1520700</stp>
        <stp>Strike</stp>
        <stp/>
        <stp>D</stp>
        <tr r="I14" s="1"/>
      </tp>
      <tp t="s">
        <v>768: Current Message -&gt; Symbol not found</v>
        <stp>cqgrtdserver</stp>
        <stp>ContractData</stp>
        <stp>C.CLEN56800</stp>
        <stp>LongSymbol</stp>
        <tr r="B13" s="1"/>
      </tp>
      <tp>
        <v>46</v>
        <stp>cqgrtdserver</stp>
        <stp>ContractData</stp>
        <stp>P.US.USAQ1514900</stp>
        <stp>Y_Close</stp>
        <stp/>
        <stp>D</stp>
        <tr r="J19" s="1"/>
      </tp>
      <tp t="s">
        <v/>
        <stp>cqgrtdserver</stp>
        <stp>ContractData</stp>
        <stp>F.US.DDU15</stp>
        <stp>AverageVolatility</stp>
        <tr r="M20" s="1"/>
        <tr r="M4" s="1"/>
      </tp>
      <tp t="s">
        <v/>
        <stp>cqgrtdserver</stp>
        <stp>ContractData</stp>
        <stp>F.US.EPU15</stp>
        <stp>AverageVolatility</stp>
        <tr r="M3" s="1"/>
      </tp>
      <tp t="s">
        <v/>
        <stp>cqgrtdserver</stp>
        <stp>ContractData</stp>
        <stp>F.US.CLES2Z17</stp>
        <stp>VolumeLastAsk</stp>
        <tr r="F11" s="1"/>
      </tp>
      <tp>
        <v>441250</v>
        <stp>cqgrtdserver</stp>
        <stp>ContractData</stp>
        <stp>F.US.ENQU15</stp>
        <stp>LastTrade</stp>
        <stp/>
        <stp>D</stp>
        <tr r="G5" s="1"/>
      </tp>
      <tp>
        <v>98660</v>
        <stp>cqgrtdserver</stp>
        <stp>ContractData</stp>
        <stp>F.US.EDAZ16</stp>
        <stp>LastTrade</stp>
        <stp/>
        <stp>D</stp>
        <tr r="G9" s="1"/>
      </tp>
      <tp>
        <v>941</v>
        <stp>cqgrtdserver</stp>
        <stp>ContractData</stp>
        <stp>F.US.CLES1Q15</stp>
        <stp>VolumeLastBid</stp>
        <tr r="D10" s="1"/>
      </tp>
      <tp>
        <v>433950</v>
        <stp>cqgrtdserver</stp>
        <stp>ContractData</stp>
        <stp>F.US.ENQU15</stp>
        <stp>Y_Close</stp>
        <stp/>
        <stp>D</stp>
        <tr r="J5" s="1"/>
      </tp>
      <tp t="s">
        <v/>
        <stp>cqgrtdserver</stp>
        <stp>ContractData</stp>
        <stp>F.US.CLES3Q15</stp>
        <stp>VolumeLastBid</stp>
        <tr r="D12" s="1"/>
      </tp>
      <tp>
        <v>10</v>
        <stp>cqgrtdserver</stp>
        <stp>ContractData</stp>
        <stp>P.US.USAQ1514900</stp>
        <stp>VolumeLastAsk</stp>
        <tr r="F19" s="1"/>
      </tp>
      <tp t="s">
        <v/>
        <stp>cqgrtdserver</stp>
        <stp>ContractData</stp>
        <stp>C.US.USAQ1514900</stp>
        <stp>VolumeLastAsk</stp>
        <tr r="F18" s="1"/>
      </tp>
      <tp t="s">
        <v/>
        <stp>cqgrtdserver</stp>
        <stp>ContractData</stp>
        <stp>F.US.ENQU15</stp>
        <stp>Rho</stp>
        <tr r="Q5" s="1"/>
      </tp>
      <tp t="s">
        <v/>
        <stp>cqgrtdserver</stp>
        <stp>ContractData</stp>
        <stp>F.US.CLES3Q15</stp>
        <stp>VolumeLastAsk</stp>
        <tr r="F12" s="1"/>
      </tp>
      <tp>
        <v>505</v>
        <stp>cqgrtdserver</stp>
        <stp>ContractData</stp>
        <stp>F.US.CLES1Q15</stp>
        <stp>VolumeLastAsk</stp>
        <tr r="F10" s="1"/>
      </tp>
      <tp t="s">
        <v/>
        <stp>cqgrtdserver</stp>
        <stp>ContractData</stp>
        <stp>F.US.USAU15</stp>
        <stp>Rho</stp>
        <tr r="Q8" s="1"/>
      </tp>
      <tp>
        <v>-48.23</v>
        <stp>cqgrtdserver</stp>
        <stp>ContractData</stp>
        <stp>P.US.EPN1520700</stp>
        <stp>Delta</stp>
        <tr r="O14" s="1"/>
      </tp>
      <tp>
        <v>51.82</v>
        <stp>cqgrtdserver</stp>
        <stp>ContractData</stp>
        <stp>C.US.EPN1520700</stp>
        <stp>Delta</stp>
        <tr r="O15" s="1"/>
      </tp>
      <tp t="s">
        <v/>
        <stp>cqgrtdserver</stp>
        <stp>ContractData</stp>
        <stp>C.US.USAQ1514900</stp>
        <stp>VolumeLastBid</stp>
        <tr r="D18" s="1"/>
      </tp>
      <tp>
        <v>10150</v>
        <stp>cqgrtdserver</stp>
        <stp>ContractData</stp>
        <stp>P.US.ENQN1544200</stp>
        <stp>Y_Close</stp>
        <stp/>
        <stp>D</stp>
        <tr r="J17" s="1"/>
      </tp>
      <tp>
        <v>2</v>
        <stp>cqgrtdserver</stp>
        <stp>ContractData</stp>
        <stp>P.US.USAQ1514900</stp>
        <stp>VolumeLastBid</stp>
        <tr r="D19" s="1"/>
      </tp>
      <tp t="s">
        <v/>
        <stp>cqgrtdserver</stp>
        <stp>ContractData</stp>
        <stp>F.US.CLES2Z17</stp>
        <stp>VolumeLastBid</stp>
        <tr r="D11" s="1"/>
      </tp>
      <tp t="s">
        <v/>
        <stp>cqgrtdserver</stp>
        <stp>ContractData</stp>
        <stp>F.US.USAU15</stp>
        <stp>TheoreticalValue</stp>
        <tr r="N8" s="1"/>
      </tp>
      <tp t="s">
        <v/>
        <stp>cqgrtdserver</stp>
        <stp>ContractData</stp>
        <stp>F.US.CLES2Z17</stp>
        <stp>VolumeLastTrade</stp>
        <tr r="H11" s="1"/>
      </tp>
      <tp>
        <v>42265</v>
        <stp>cqgrtdserver</stp>
        <stp>ContractData</stp>
        <stp>F.US.EPU15</stp>
        <stp>ExpirationDate</stp>
        <tr r="K3" s="1"/>
      </tp>
      <tp>
        <v>6.9300000000000004E-3</v>
        <stp>cqgrtdserver</stp>
        <stp>ContractData</stp>
        <stp>P.US.EPN1520700</stp>
        <stp>Gamma</stp>
        <tr r="P14" s="1"/>
      </tp>
      <tp>
        <v>7.4800000000000005E-3</v>
        <stp>cqgrtdserver</stp>
        <stp>ContractData</stp>
        <stp>C.US.EPN1520700</stp>
        <stp>Gamma</stp>
        <tr r="P15" s="1"/>
      </tp>
      <tp t="s">
        <v/>
        <stp>cqgrtdserver</stp>
        <stp>ContractData</stp>
        <stp>F.US.CLES2Z17</stp>
        <stp>Theta</stp>
        <tr r="R11" s="1"/>
      </tp>
      <tp>
        <v>42265</v>
        <stp>cqgrtdserver</stp>
        <stp>ContractData</stp>
        <stp>F.US.ENQU15</stp>
        <stp>ExpirationDate</stp>
        <tr r="K5" s="1"/>
      </tp>
      <tp>
        <v>-4.0259999999999998</v>
        <stp>cqgrtdserver</stp>
        <stp>ContractData</stp>
        <stp>C.US.USAQ1514900</stp>
        <stp>Theta</stp>
        <tr r="R18" s="1"/>
      </tp>
      <tp>
        <v>-5.0830000000000002</v>
        <stp>cqgrtdserver</stp>
        <stp>ContractData</stp>
        <stp>P.US.USAQ1514900</stp>
        <stp>Theta</stp>
        <tr r="R19" s="1"/>
      </tp>
      <tp t="s">
        <v/>
        <stp>cqgrtdserver</stp>
        <stp>ContractData</stp>
        <stp>F.US.NGEQ15</stp>
        <stp>Rho</stp>
        <tr r="Q7" s="1"/>
      </tp>
      <tp t="s">
        <v/>
        <stp>cqgrtdserver</stp>
        <stp>ContractData</stp>
        <stp>F.US.CLEQ15</stp>
        <stp>Rho</stp>
        <tr r="Q6" s="1"/>
      </tp>
      <tp t="s">
        <v/>
        <stp>cqgrtdserver</stp>
        <stp>ContractData</stp>
        <stp>F.US.CLES1Q15</stp>
        <stp>Theta</stp>
        <tr r="R10" s="1"/>
      </tp>
      <tp t="s">
        <v/>
        <stp>cqgrtdserver</stp>
        <stp>ContractData</stp>
        <stp>F.US.CLES3Q15</stp>
        <stp>Theta</stp>
        <tr r="R12" s="1"/>
      </tp>
      <tp>
        <v>5282</v>
        <stp>cqgrtdserver</stp>
        <stp>ContractData</stp>
        <stp>F.US.CLEQ15</stp>
        <stp>LastTrade</stp>
        <stp/>
        <stp>D</stp>
        <tr r="G6" s="1"/>
      </tp>
      <tp>
        <v>42202</v>
        <stp>cqgrtdserver</stp>
        <stp>ContractData</stp>
        <stp>P.US.ENQN1544200</stp>
        <stp>ExpirationDate</stp>
        <tr r="K17" s="1"/>
      </tp>
      <tp>
        <v>204125</v>
        <stp>cqgrtdserver</stp>
        <stp>ContractData</stp>
        <stp>F.US.EPU15</stp>
        <stp>Y_Close</stp>
        <stp/>
        <stp>D</stp>
        <tr r="J3" s="1"/>
      </tp>
      <tp>
        <v>44200</v>
        <stp>cqgrtdserver</stp>
        <stp>ContractData</stp>
        <stp>C.US.ENQN1544200</stp>
        <stp>Strike</stp>
        <stp/>
        <stp>D</stp>
        <tr r="I16" s="1"/>
      </tp>
      <tp>
        <v>44200</v>
        <stp>cqgrtdserver</stp>
        <stp>ContractData</stp>
        <stp>P.US.ENQN1544200</stp>
        <stp>Strike</stp>
        <stp/>
        <stp>D</stp>
        <tr r="I17" s="1"/>
      </tp>
      <tp>
        <v>5</v>
        <stp>cqgrtdserver</stp>
        <stp>ContractData</stp>
        <stp>C.US.ENQN1544200</stp>
        <stp>VolumeLastTrade</stp>
        <tr r="H16" s="1"/>
      </tp>
      <tp>
        <v>1</v>
        <stp>cqgrtdserver</stp>
        <stp>ContractData</stp>
        <stp>P.US.ENQN1544200</stp>
        <stp>VolumeLastTrade</stp>
        <tr r="H17" s="1"/>
      </tp>
      <tp>
        <v>1</v>
        <stp>cqgrtdserver</stp>
        <stp>ContractData</stp>
        <stp>F.US.CLES1Q15</stp>
        <stp>VolumeLastTrade</stp>
        <tr r="H10" s="1"/>
      </tp>
      <tp>
        <v>1</v>
        <stp>cqgrtdserver</stp>
        <stp>ContractData</stp>
        <stp>F.US.CLES3Q15</stp>
        <stp>VolumeLastTrade</stp>
        <tr r="H12" s="1"/>
      </tp>
      <tp t="s">
        <v/>
        <stp>cqgrtdserver</stp>
        <stp>ContractData</stp>
        <stp>F.US.DDU15</stp>
        <stp>ImpliedVolatility</stp>
        <tr r="L20" s="1"/>
        <tr r="L4" s="1"/>
      </tp>
      <tp t="s">
        <v>F.US.CLES1Q15</v>
        <stp>cqgrtdserver</stp>
        <stp>ContractData</stp>
        <stp>CLES1</stp>
        <stp>LongSymbol</stp>
        <tr r="B10" s="1"/>
      </tp>
      <tp t="s">
        <v>F.US.CLES3Q15</v>
        <stp>cqgrtdserver</stp>
        <stp>ContractData</stp>
        <stp>CLES3</stp>
        <stp>LongSymbol</stp>
        <tr r="B12" s="1"/>
      </tp>
      <tp t="s">
        <v>F.US.CLES2Z17</v>
        <stp>cqgrtdserver</stp>
        <stp>ContractData</stp>
        <stp>CLES2</stp>
        <stp>LongSymbol</stp>
        <tr r="B11" s="1"/>
      </tp>
      <tp>
        <v>42209</v>
        <stp>cqgrtdserver</stp>
        <stp>ContractData</stp>
        <stp>C.US.USAQ1514900</stp>
        <stp>ExpirationDate</stp>
        <tr r="K18" s="1"/>
      </tp>
      <tp>
        <v>2770</v>
        <stp>cqgrtdserver</stp>
        <stp>ContractData</stp>
        <stp>F.US.NGEQ15</stp>
        <stp>LastTrade</stp>
        <stp/>
        <stp>D</stp>
        <tr r="G7" s="1"/>
      </tp>
      <tp t="s">
        <v/>
        <stp>cqgrtdserver</stp>
        <stp>ContractData</stp>
        <stp>F.US.EPU15</stp>
        <stp>ImpliedVolatility</stp>
        <tr r="L3" s="1"/>
      </tp>
      <tp>
        <v>-212.33099999999999</v>
        <stp>cqgrtdserver</stp>
        <stp>ContractData</stp>
        <stp>C.US.EPN1520700</stp>
        <stp>Theta</stp>
        <tr r="R15" s="1"/>
      </tp>
      <tp>
        <v>-229.113</v>
        <stp>cqgrtdserver</stp>
        <stp>ContractData</stp>
        <stp>P.US.EPN1520700</stp>
        <stp>Theta</stp>
        <tr r="R14" s="1"/>
      </tp>
      <tp t="s">
        <v/>
        <stp>cqgrtdserver</stp>
        <stp>ContractData</stp>
        <stp>F.US.CLES2Z17</stp>
        <stp>Gamma</stp>
        <tr r="P11" s="1"/>
      </tp>
      <tp>
        <v>1</v>
        <stp>cqgrtdserver</stp>
        <stp>ContractData</stp>
        <stp>P.US.EPN1520700</stp>
        <stp>VolumeLastBid</stp>
        <tr r="D14" s="1"/>
      </tp>
      <tp>
        <v>4</v>
        <stp>cqgrtdserver</stp>
        <stp>ContractData</stp>
        <stp>C.US.EPN1520700</stp>
        <stp>VolumeLastBid</stp>
        <tr r="D15" s="1"/>
      </tp>
      <tp>
        <v>55.39</v>
        <stp>cqgrtdserver</stp>
        <stp>ContractData</stp>
        <stp>C.US.USAQ1514900</stp>
        <stp>Delta</stp>
        <tr r="O18" s="1"/>
      </tp>
      <tp>
        <v>-45.47</v>
        <stp>cqgrtdserver</stp>
        <stp>ContractData</stp>
        <stp>P.US.USAQ1514900</stp>
        <stp>Delta</stp>
        <tr r="O19" s="1"/>
      </tp>
      <tp t="s">
        <v/>
        <stp>cqgrtdserver</stp>
        <stp>ContractData</stp>
        <stp>F.US.EDAZ16</stp>
        <stp>Rho</stp>
        <tr r="Q9" s="1"/>
      </tp>
      <tp t="s">
        <v/>
        <stp>cqgrtdserver</stp>
        <stp>ContractData</stp>
        <stp>F.US.CLES2Z17</stp>
        <stp>Delta</stp>
        <tr r="O11" s="1"/>
      </tp>
      <tp>
        <v>2.5749999999999999E-2</v>
        <stp>cqgrtdserver</stp>
        <stp>ContractData</stp>
        <stp>P.US.USAQ1514900</stp>
        <stp>Gamma</stp>
        <tr r="P19" s="1"/>
      </tp>
      <tp>
        <v>3.2329999999999998E-2</v>
        <stp>cqgrtdserver</stp>
        <stp>ContractData</stp>
        <stp>C.US.USAQ1514900</stp>
        <stp>Gamma</stp>
        <tr r="P18" s="1"/>
      </tp>
      <tp t="s">
        <v/>
        <stp>cqgrtdserver</stp>
        <stp>ContractData</stp>
        <stp>F.US.CLES1Q15</stp>
        <stp>Gamma</stp>
        <tr r="P10" s="1"/>
      </tp>
      <tp t="s">
        <v/>
        <stp>cqgrtdserver</stp>
        <stp>ContractData</stp>
        <stp>F.US.CLES3Q15</stp>
        <stp>Gamma</stp>
        <tr r="P12" s="1"/>
      </tp>
      <tp>
        <v>320</v>
        <stp>cqgrtdserver</stp>
        <stp>ContractData</stp>
        <stp>C.US.USAQ1514900</stp>
        <stp>Y_Close</stp>
        <stp/>
        <stp>D</stp>
        <tr r="J18" s="1"/>
      </tp>
      <tp t="s">
        <v/>
        <stp>cqgrtdserver</stp>
        <stp>ContractData</stp>
        <stp>F.US.CLES1Q15</stp>
        <stp>Delta</stp>
        <tr r="O10" s="1"/>
      </tp>
      <tp t="s">
        <v/>
        <stp>cqgrtdserver</stp>
        <stp>ContractData</stp>
        <stp>F.US.CLES3Q15</stp>
        <stp>Delta</stp>
        <tr r="O12" s="1"/>
      </tp>
      <tp>
        <v>2</v>
        <stp>cqgrtdserver</stp>
        <stp>ContractData</stp>
        <stp>P.US.EPN1520700</stp>
        <stp>VolumeLastAsk</stp>
        <tr r="F14" s="1"/>
      </tp>
      <tp>
        <v>1</v>
        <stp>cqgrtdserver</stp>
        <stp>ContractData</stp>
        <stp>C.US.EPN1520700</stp>
        <stp>VolumeLastAsk</stp>
        <tr r="F15" s="1"/>
      </tp>
      <tp>
        <v>6.8739999999999997</v>
        <stp>cqgrtdserver</stp>
        <stp>ContractData</stp>
        <stp>P.US.USAQ1514900</stp>
        <stp>Vega</stp>
        <tr r="S19" s="1"/>
      </tp>
      <tp>
        <v>6.8559999999999999</v>
        <stp>cqgrtdserver</stp>
        <stp>ContractData</stp>
        <stp>C.US.USAQ1514900</stp>
        <stp>Vega</stp>
        <tr r="S18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QGRTDQuoteBoard"/>
  <dimension ref="A1:T34"/>
  <sheetViews>
    <sheetView tabSelected="1" workbookViewId="0">
      <selection activeCell="A21" sqref="A21"/>
    </sheetView>
  </sheetViews>
  <sheetFormatPr defaultRowHeight="15" x14ac:dyDescent="0.25"/>
  <cols>
    <col min="1" max="1" width="11.7109375" customWidth="1"/>
    <col min="2" max="2" width="17.140625" customWidth="1"/>
    <col min="3" max="3" width="8.140625" customWidth="1"/>
    <col min="4" max="4" width="6" customWidth="1"/>
    <col min="5" max="5" width="8.140625" customWidth="1"/>
    <col min="6" max="6" width="5.42578125" customWidth="1"/>
    <col min="7" max="7" width="9.7109375" customWidth="1"/>
    <col min="8" max="8" width="6.140625" customWidth="1"/>
    <col min="9" max="9" width="6.7109375" customWidth="1"/>
    <col min="10" max="10" width="9.5703125" customWidth="1"/>
    <col min="11" max="11" width="10" customWidth="1"/>
    <col min="12" max="12" width="9" customWidth="1"/>
    <col min="13" max="13" width="8.85546875" customWidth="1"/>
    <col min="14" max="14" width="10.85546875" customWidth="1"/>
    <col min="15" max="15" width="7" customWidth="1"/>
    <col min="16" max="16" width="7.7109375" customWidth="1"/>
    <col min="17" max="17" width="6.7109375" customWidth="1"/>
    <col min="18" max="18" width="8.5703125" customWidth="1"/>
    <col min="19" max="19" width="8.42578125" customWidth="1"/>
    <col min="20" max="20" width="8.5703125" customWidth="1"/>
  </cols>
  <sheetData>
    <row r="1" spans="1:20" ht="15.75" thickBot="1" x14ac:dyDescent="0.3">
      <c r="A1" s="13" t="s">
        <v>32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20"/>
      <c r="N1" s="14" t="s">
        <v>35</v>
      </c>
      <c r="O1" s="21"/>
      <c r="P1" s="22"/>
    </row>
    <row r="2" spans="1:20" ht="44.25" customHeight="1" x14ac:dyDescent="0.25">
      <c r="A2" s="8" t="s">
        <v>0</v>
      </c>
      <c r="B2" s="9" t="s">
        <v>5</v>
      </c>
      <c r="C2" s="9" t="s">
        <v>1</v>
      </c>
      <c r="D2" s="7" t="s">
        <v>37</v>
      </c>
      <c r="E2" s="9" t="s">
        <v>2</v>
      </c>
      <c r="F2" s="9" t="s">
        <v>38</v>
      </c>
      <c r="G2" s="9" t="s">
        <v>3</v>
      </c>
      <c r="H2" s="9" t="s">
        <v>39</v>
      </c>
      <c r="I2" s="9" t="s">
        <v>28</v>
      </c>
      <c r="J2" s="9" t="s">
        <v>4</v>
      </c>
      <c r="K2" s="9" t="s">
        <v>6</v>
      </c>
      <c r="L2" s="9" t="s">
        <v>19</v>
      </c>
      <c r="M2" s="9" t="s">
        <v>20</v>
      </c>
      <c r="N2" s="9" t="s">
        <v>22</v>
      </c>
      <c r="O2" s="9" t="s">
        <v>23</v>
      </c>
      <c r="P2" s="9" t="s">
        <v>24</v>
      </c>
      <c r="Q2" s="9" t="s">
        <v>25</v>
      </c>
      <c r="R2" s="9" t="s">
        <v>26</v>
      </c>
      <c r="S2" s="15" t="s">
        <v>27</v>
      </c>
      <c r="T2" s="10" t="s">
        <v>36</v>
      </c>
    </row>
    <row r="3" spans="1:20" x14ac:dyDescent="0.25">
      <c r="A3" s="3" t="s">
        <v>7</v>
      </c>
      <c r="B3" s="1" t="str">
        <f>CqgRtdResolvedSym(A3)</f>
        <v>F.US.EPU15</v>
      </c>
      <c r="C3" s="1">
        <f>CqgRtdPrice(B3, "Bid")</f>
        <v>206975</v>
      </c>
      <c r="D3" s="1">
        <f>CqgRtdValue(B3, "VolumeLastBid")</f>
        <v>2</v>
      </c>
      <c r="E3" s="1">
        <f>CqgRtdPrice(B3, "Ask")</f>
        <v>207175</v>
      </c>
      <c r="F3" s="1">
        <f>CqgRtdValue(B3, "VolumeLastAsk")</f>
        <v>3</v>
      </c>
      <c r="G3" s="1">
        <f>CqgRtdPrice(B3, "LastTrade")</f>
        <v>207050</v>
      </c>
      <c r="H3" s="1">
        <f>CqgRtdValue(B3, "VolumeLastTrade")</f>
        <v>8</v>
      </c>
      <c r="I3" s="1" t="str">
        <f>CqgRtdPrice(B3, "Strike")</f>
        <v/>
      </c>
      <c r="J3" s="1">
        <f>CqgRtdPrice(B3, "Y_Close")</f>
        <v>204125</v>
      </c>
      <c r="K3" s="5">
        <f xml:space="preserve"> CqgRtdValue(B3, "ExpirationDate")</f>
        <v>42265</v>
      </c>
      <c r="L3" s="11" t="str">
        <f xml:space="preserve"> CqgRtdValue(B3, "ImpliedVolatility")</f>
        <v/>
      </c>
      <c r="M3" s="11" t="str">
        <f xml:space="preserve"> CqgRtdValue(B3, "AverageVolatility")</f>
        <v/>
      </c>
      <c r="N3" s="11" t="str">
        <f xml:space="preserve"> CqgRtdValue(B3, "TheoreticalValue")</f>
        <v/>
      </c>
      <c r="O3" s="11" t="str">
        <f xml:space="preserve"> CqgRtdValue(B3, "Delta")</f>
        <v/>
      </c>
      <c r="P3" s="11" t="str">
        <f xml:space="preserve"> CqgRtdValue(B3, "Gamma")</f>
        <v/>
      </c>
      <c r="Q3" s="11" t="str">
        <f xml:space="preserve"> CqgRtdValue(B3, "Rho")</f>
        <v/>
      </c>
      <c r="R3" s="11" t="str">
        <f xml:space="preserve"> CqgRtdValue(B3, "Theta")</f>
        <v/>
      </c>
      <c r="S3" s="16" t="str">
        <f xml:space="preserve"> CqgRtdValue(B3, "Vega")</f>
        <v/>
      </c>
      <c r="T3" s="18" t="str">
        <f xml:space="preserve"> CqgRtdOPValue(B3, O1, "OpenPosition")</f>
        <v/>
      </c>
    </row>
    <row r="4" spans="1:20" x14ac:dyDescent="0.25">
      <c r="A4" s="3" t="s">
        <v>9</v>
      </c>
      <c r="B4" s="1" t="str">
        <f t="shared" ref="B4:B34" si="0">CqgRtdResolvedSym(A4)</f>
        <v>F.US.DDU15</v>
      </c>
      <c r="C4" s="1">
        <f t="shared" ref="C4:C34" si="1">CqgRtdPrice(B4, "Bid")</f>
        <v>113970</v>
      </c>
      <c r="D4" s="1">
        <f t="shared" ref="D4:D34" si="2">CqgRtdValue(B4, "VolumeLastBid")</f>
        <v>1</v>
      </c>
      <c r="E4" s="1">
        <f t="shared" ref="E4:E34" si="3">CqgRtdPrice(B4, "Ask")</f>
        <v>113995</v>
      </c>
      <c r="F4" s="1">
        <f t="shared" ref="F4:F34" si="4">CqgRtdValue(B4, "VolumeLastAsk")</f>
        <v>1</v>
      </c>
      <c r="G4" s="1">
        <f t="shared" ref="G4:G34" si="5">CqgRtdPrice(B4, "LastTrade")</f>
        <v>113995</v>
      </c>
      <c r="H4" s="1">
        <f t="shared" ref="H4:H34" si="6">CqgRtdValue(B4, "VolumeLastTrade")</f>
        <v>28</v>
      </c>
      <c r="I4" s="1" t="str">
        <f t="shared" ref="I4:I34" si="7">CqgRtdPrice(B4, "Strike")</f>
        <v/>
      </c>
      <c r="J4" s="1">
        <f t="shared" ref="J4:J34" si="8">CqgRtdPrice(B4, "Y_Close")</f>
        <v>109580</v>
      </c>
      <c r="K4" s="5">
        <f t="shared" ref="K4:K34" si="9" xml:space="preserve"> CqgRtdValue(B4, "ExpirationDate")</f>
        <v>42265</v>
      </c>
      <c r="L4" s="11" t="str">
        <f t="shared" ref="L4:L34" si="10" xml:space="preserve"> CqgRtdValue(B4, "ImpliedVolatility")</f>
        <v/>
      </c>
      <c r="M4" s="11" t="str">
        <f t="shared" ref="M4:M34" si="11" xml:space="preserve"> CqgRtdValue(B4, "AverageVolatility")</f>
        <v/>
      </c>
      <c r="N4" s="11" t="str">
        <f t="shared" ref="N4:N34" si="12" xml:space="preserve"> CqgRtdValue(B4, "TheoreticalValue")</f>
        <v/>
      </c>
      <c r="O4" s="11" t="str">
        <f t="shared" ref="O4:O34" si="13" xml:space="preserve"> CqgRtdValue(B4, "Delta")</f>
        <v/>
      </c>
      <c r="P4" s="11" t="str">
        <f t="shared" ref="P4:P34" si="14" xml:space="preserve"> CqgRtdValue(B4, "Gamma")</f>
        <v/>
      </c>
      <c r="Q4" s="11" t="str">
        <f t="shared" ref="Q4:Q34" si="15" xml:space="preserve"> CqgRtdValue(B4, "Rho")</f>
        <v/>
      </c>
      <c r="R4" s="11" t="str">
        <f t="shared" ref="R4:R34" si="16" xml:space="preserve"> CqgRtdValue(B4, "Theta")</f>
        <v/>
      </c>
      <c r="S4" s="16" t="str">
        <f t="shared" ref="S4:S34" si="17" xml:space="preserve"> CqgRtdValue(B4, "Vega")</f>
        <v/>
      </c>
      <c r="T4" s="18" t="str">
        <f xml:space="preserve"> CqgRtdOPValue(B4, O1, "OpenPosition")</f>
        <v/>
      </c>
    </row>
    <row r="5" spans="1:20" x14ac:dyDescent="0.25">
      <c r="A5" s="3" t="s">
        <v>8</v>
      </c>
      <c r="B5" s="1" t="str">
        <f t="shared" si="0"/>
        <v>F.US.ENQU15</v>
      </c>
      <c r="C5" s="1">
        <f t="shared" si="1"/>
        <v>441175</v>
      </c>
      <c r="D5" s="1">
        <f t="shared" si="2"/>
        <v>1</v>
      </c>
      <c r="E5" s="1">
        <f t="shared" si="3"/>
        <v>441725</v>
      </c>
      <c r="F5" s="1">
        <f t="shared" si="4"/>
        <v>1</v>
      </c>
      <c r="G5" s="1">
        <f t="shared" si="5"/>
        <v>441250</v>
      </c>
      <c r="H5" s="1">
        <f t="shared" si="6"/>
        <v>1</v>
      </c>
      <c r="I5" s="1" t="str">
        <f t="shared" si="7"/>
        <v/>
      </c>
      <c r="J5" s="1">
        <f t="shared" si="8"/>
        <v>433950</v>
      </c>
      <c r="K5" s="5">
        <f t="shared" si="9"/>
        <v>42265</v>
      </c>
      <c r="L5" s="11" t="str">
        <f t="shared" si="10"/>
        <v/>
      </c>
      <c r="M5" s="11" t="str">
        <f t="shared" si="11"/>
        <v/>
      </c>
      <c r="N5" s="11" t="str">
        <f t="shared" si="12"/>
        <v/>
      </c>
      <c r="O5" s="11" t="str">
        <f t="shared" si="13"/>
        <v/>
      </c>
      <c r="P5" s="11" t="str">
        <f t="shared" si="14"/>
        <v/>
      </c>
      <c r="Q5" s="11" t="str">
        <f t="shared" si="15"/>
        <v/>
      </c>
      <c r="R5" s="11" t="str">
        <f t="shared" si="16"/>
        <v/>
      </c>
      <c r="S5" s="16" t="str">
        <f t="shared" si="17"/>
        <v/>
      </c>
      <c r="T5" s="18" t="str">
        <f xml:space="preserve"> CqgRtdOPValue(B5, O1, "OpenPosition")</f>
        <v/>
      </c>
    </row>
    <row r="6" spans="1:20" x14ac:dyDescent="0.25">
      <c r="A6" s="3" t="s">
        <v>16</v>
      </c>
      <c r="B6" s="1" t="str">
        <f t="shared" si="0"/>
        <v>F.US.CLEQ15</v>
      </c>
      <c r="C6" s="1">
        <f t="shared" si="1"/>
        <v>5278</v>
      </c>
      <c r="D6" s="1">
        <f t="shared" si="2"/>
        <v>1</v>
      </c>
      <c r="E6" s="1">
        <f t="shared" si="3"/>
        <v>5290</v>
      </c>
      <c r="F6" s="1">
        <f t="shared" si="4"/>
        <v>1</v>
      </c>
      <c r="G6" s="1">
        <f t="shared" si="5"/>
        <v>5282</v>
      </c>
      <c r="H6" s="1">
        <f t="shared" si="6"/>
        <v>1</v>
      </c>
      <c r="I6" s="1" t="str">
        <f t="shared" si="7"/>
        <v/>
      </c>
      <c r="J6" s="1">
        <f t="shared" si="8"/>
        <v>5259</v>
      </c>
      <c r="K6" s="5">
        <f t="shared" si="9"/>
        <v>42206</v>
      </c>
      <c r="L6" s="11" t="str">
        <f t="shared" si="10"/>
        <v/>
      </c>
      <c r="M6" s="11" t="str">
        <f t="shared" si="11"/>
        <v/>
      </c>
      <c r="N6" s="11" t="str">
        <f t="shared" si="12"/>
        <v/>
      </c>
      <c r="O6" s="11" t="str">
        <f t="shared" si="13"/>
        <v/>
      </c>
      <c r="P6" s="11" t="str">
        <f t="shared" si="14"/>
        <v/>
      </c>
      <c r="Q6" s="11" t="str">
        <f t="shared" si="15"/>
        <v/>
      </c>
      <c r="R6" s="11" t="str">
        <f t="shared" si="16"/>
        <v/>
      </c>
      <c r="S6" s="16" t="str">
        <f t="shared" si="17"/>
        <v/>
      </c>
      <c r="T6" s="18" t="str">
        <f xml:space="preserve"> CqgRtdOPValue(B6, O1, "OpenPosition")</f>
        <v/>
      </c>
    </row>
    <row r="7" spans="1:20" x14ac:dyDescent="0.25">
      <c r="A7" s="3" t="s">
        <v>14</v>
      </c>
      <c r="B7" s="1" t="str">
        <f t="shared" si="0"/>
        <v>F.US.NGEQ15</v>
      </c>
      <c r="C7" s="1">
        <f t="shared" si="1"/>
        <v>2769</v>
      </c>
      <c r="D7" s="1">
        <f t="shared" si="2"/>
        <v>15</v>
      </c>
      <c r="E7" s="1">
        <f t="shared" si="3"/>
        <v>2786</v>
      </c>
      <c r="F7" s="1">
        <f t="shared" si="4"/>
        <v>1</v>
      </c>
      <c r="G7" s="1">
        <f t="shared" si="5"/>
        <v>2770</v>
      </c>
      <c r="H7" s="1">
        <f t="shared" si="6"/>
        <v>1</v>
      </c>
      <c r="I7" s="1" t="str">
        <f t="shared" si="7"/>
        <v/>
      </c>
      <c r="J7" s="1">
        <f t="shared" si="8"/>
        <v>2729</v>
      </c>
      <c r="K7" s="5">
        <f t="shared" si="9"/>
        <v>42214</v>
      </c>
      <c r="L7" s="11" t="str">
        <f t="shared" si="10"/>
        <v/>
      </c>
      <c r="M7" s="11" t="str">
        <f t="shared" si="11"/>
        <v/>
      </c>
      <c r="N7" s="11" t="str">
        <f t="shared" si="12"/>
        <v/>
      </c>
      <c r="O7" s="11" t="str">
        <f t="shared" si="13"/>
        <v/>
      </c>
      <c r="P7" s="11" t="str">
        <f t="shared" si="14"/>
        <v/>
      </c>
      <c r="Q7" s="11" t="str">
        <f t="shared" si="15"/>
        <v/>
      </c>
      <c r="R7" s="11" t="str">
        <f t="shared" si="16"/>
        <v/>
      </c>
      <c r="S7" s="16" t="str">
        <f t="shared" si="17"/>
        <v/>
      </c>
      <c r="T7" s="18" t="str">
        <f xml:space="preserve"> CqgRtdOPValue(B7, O1, "OpenPosition")</f>
        <v/>
      </c>
    </row>
    <row r="8" spans="1:20" x14ac:dyDescent="0.25">
      <c r="A8" s="3" t="s">
        <v>11</v>
      </c>
      <c r="B8" s="1" t="str">
        <f t="shared" si="0"/>
        <v>F.US.USAU15</v>
      </c>
      <c r="C8" s="1">
        <f t="shared" si="1"/>
        <v>149140</v>
      </c>
      <c r="D8" s="1">
        <f t="shared" si="2"/>
        <v>2</v>
      </c>
      <c r="E8" s="1">
        <f t="shared" si="3"/>
        <v>149150</v>
      </c>
      <c r="F8" s="1">
        <f t="shared" si="4"/>
        <v>1</v>
      </c>
      <c r="G8" s="1">
        <f t="shared" si="5"/>
        <v>149150</v>
      </c>
      <c r="H8" s="1">
        <f t="shared" si="6"/>
        <v>2</v>
      </c>
      <c r="I8" s="1" t="str">
        <f t="shared" si="7"/>
        <v/>
      </c>
      <c r="J8" s="1">
        <f t="shared" si="8"/>
        <v>151040</v>
      </c>
      <c r="K8" s="5">
        <f t="shared" si="9"/>
        <v>42268</v>
      </c>
      <c r="L8" s="11" t="str">
        <f t="shared" si="10"/>
        <v/>
      </c>
      <c r="M8" s="11" t="str">
        <f t="shared" si="11"/>
        <v/>
      </c>
      <c r="N8" s="11" t="str">
        <f t="shared" si="12"/>
        <v/>
      </c>
      <c r="O8" s="11" t="str">
        <f t="shared" si="13"/>
        <v/>
      </c>
      <c r="P8" s="11" t="str">
        <f t="shared" si="14"/>
        <v/>
      </c>
      <c r="Q8" s="11" t="str">
        <f t="shared" si="15"/>
        <v/>
      </c>
      <c r="R8" s="11" t="str">
        <f t="shared" si="16"/>
        <v/>
      </c>
      <c r="S8" s="16" t="str">
        <f t="shared" si="17"/>
        <v/>
      </c>
      <c r="T8" s="18" t="str">
        <f xml:space="preserve"> CqgRtdOPValue(B8, O1, "OpenPosition")</f>
        <v/>
      </c>
    </row>
    <row r="9" spans="1:20" x14ac:dyDescent="0.25">
      <c r="A9" s="3" t="s">
        <v>10</v>
      </c>
      <c r="B9" s="1" t="str">
        <f t="shared" si="0"/>
        <v>F.US.EDAZ16</v>
      </c>
      <c r="C9" s="1">
        <f t="shared" si="1"/>
        <v>98655</v>
      </c>
      <c r="D9" s="1">
        <f t="shared" si="2"/>
        <v>1796</v>
      </c>
      <c r="E9" s="1">
        <f t="shared" si="3"/>
        <v>98660</v>
      </c>
      <c r="F9" s="1">
        <f t="shared" si="4"/>
        <v>10</v>
      </c>
      <c r="G9" s="1">
        <f t="shared" si="5"/>
        <v>98660</v>
      </c>
      <c r="H9" s="1">
        <f t="shared" si="6"/>
        <v>25</v>
      </c>
      <c r="I9" s="1" t="str">
        <f t="shared" si="7"/>
        <v/>
      </c>
      <c r="J9" s="1">
        <f t="shared" si="8"/>
        <v>98735</v>
      </c>
      <c r="K9" s="5">
        <f t="shared" si="9"/>
        <v>42723</v>
      </c>
      <c r="L9" s="11" t="str">
        <f t="shared" si="10"/>
        <v/>
      </c>
      <c r="M9" s="11" t="str">
        <f t="shared" si="11"/>
        <v/>
      </c>
      <c r="N9" s="11" t="str">
        <f t="shared" si="12"/>
        <v/>
      </c>
      <c r="O9" s="11" t="str">
        <f t="shared" si="13"/>
        <v/>
      </c>
      <c r="P9" s="11" t="str">
        <f t="shared" si="14"/>
        <v/>
      </c>
      <c r="Q9" s="11" t="str">
        <f t="shared" si="15"/>
        <v/>
      </c>
      <c r="R9" s="11" t="str">
        <f t="shared" si="16"/>
        <v/>
      </c>
      <c r="S9" s="16" t="str">
        <f t="shared" si="17"/>
        <v/>
      </c>
      <c r="T9" s="18" t="str">
        <f xml:space="preserve"> CqgRtdOPValue(B9, O1, "OpenPosition")</f>
        <v/>
      </c>
    </row>
    <row r="10" spans="1:20" x14ac:dyDescent="0.25">
      <c r="A10" s="3" t="s">
        <v>15</v>
      </c>
      <c r="B10" s="1" t="str">
        <f t="shared" si="0"/>
        <v>F.US.CLES1Q15</v>
      </c>
      <c r="C10" s="1">
        <f t="shared" si="1"/>
        <v>-48</v>
      </c>
      <c r="D10" s="1">
        <f t="shared" si="2"/>
        <v>941</v>
      </c>
      <c r="E10" s="1">
        <f t="shared" si="3"/>
        <v>-46</v>
      </c>
      <c r="F10" s="1">
        <f t="shared" si="4"/>
        <v>505</v>
      </c>
      <c r="G10" s="1">
        <f t="shared" si="5"/>
        <v>-46</v>
      </c>
      <c r="H10" s="1">
        <f t="shared" si="6"/>
        <v>1</v>
      </c>
      <c r="I10" s="1" t="str">
        <f t="shared" si="7"/>
        <v/>
      </c>
      <c r="J10" s="1">
        <f t="shared" si="8"/>
        <v>-46</v>
      </c>
      <c r="K10" s="5">
        <f t="shared" si="9"/>
        <v>42206</v>
      </c>
      <c r="L10" s="11" t="str">
        <f t="shared" si="10"/>
        <v/>
      </c>
      <c r="M10" s="11" t="str">
        <f t="shared" si="11"/>
        <v/>
      </c>
      <c r="N10" s="11" t="str">
        <f t="shared" si="12"/>
        <v/>
      </c>
      <c r="O10" s="11" t="str">
        <f t="shared" si="13"/>
        <v/>
      </c>
      <c r="P10" s="11" t="str">
        <f t="shared" si="14"/>
        <v/>
      </c>
      <c r="Q10" s="11" t="str">
        <f t="shared" si="15"/>
        <v/>
      </c>
      <c r="R10" s="11" t="str">
        <f t="shared" si="16"/>
        <v/>
      </c>
      <c r="S10" s="16" t="str">
        <f t="shared" si="17"/>
        <v/>
      </c>
      <c r="T10" s="18" t="str">
        <f xml:space="preserve"> CqgRtdOPValue(B10, O1, "OpenPosition")</f>
        <v/>
      </c>
    </row>
    <row r="11" spans="1:20" x14ac:dyDescent="0.25">
      <c r="A11" s="3" t="s">
        <v>12</v>
      </c>
      <c r="B11" s="1" t="str">
        <f t="shared" si="0"/>
        <v>F.US.CLES2Z17</v>
      </c>
      <c r="C11" s="1" t="str">
        <f t="shared" si="1"/>
        <v/>
      </c>
      <c r="D11" s="1" t="str">
        <f t="shared" si="2"/>
        <v/>
      </c>
      <c r="E11" s="1" t="str">
        <f t="shared" si="3"/>
        <v/>
      </c>
      <c r="F11" s="1" t="str">
        <f t="shared" si="4"/>
        <v/>
      </c>
      <c r="G11" s="1" t="str">
        <f t="shared" si="5"/>
        <v/>
      </c>
      <c r="H11" s="1" t="str">
        <f t="shared" si="6"/>
        <v/>
      </c>
      <c r="I11" s="1" t="str">
        <f t="shared" si="7"/>
        <v/>
      </c>
      <c r="J11" s="1">
        <f t="shared" si="8"/>
        <v>-23</v>
      </c>
      <c r="K11" s="5">
        <f t="shared" si="9"/>
        <v>43060</v>
      </c>
      <c r="L11" s="11" t="str">
        <f t="shared" si="10"/>
        <v/>
      </c>
      <c r="M11" s="11" t="str">
        <f t="shared" si="11"/>
        <v/>
      </c>
      <c r="N11" s="11" t="str">
        <f t="shared" si="12"/>
        <v/>
      </c>
      <c r="O11" s="11" t="str">
        <f t="shared" si="13"/>
        <v/>
      </c>
      <c r="P11" s="11" t="str">
        <f t="shared" si="14"/>
        <v/>
      </c>
      <c r="Q11" s="11" t="str">
        <f t="shared" si="15"/>
        <v/>
      </c>
      <c r="R11" s="11" t="str">
        <f t="shared" si="16"/>
        <v/>
      </c>
      <c r="S11" s="16" t="str">
        <f t="shared" si="17"/>
        <v/>
      </c>
      <c r="T11" s="18" t="str">
        <f xml:space="preserve"> CqgRtdOPValue(B11, O1, "OpenPosition")</f>
        <v/>
      </c>
    </row>
    <row r="12" spans="1:20" x14ac:dyDescent="0.25">
      <c r="A12" s="3" t="s">
        <v>13</v>
      </c>
      <c r="B12" s="1" t="str">
        <f t="shared" si="0"/>
        <v>F.US.CLES3Q15</v>
      </c>
      <c r="C12" s="1" t="str">
        <f t="shared" si="1"/>
        <v/>
      </c>
      <c r="D12" s="1" t="str">
        <f t="shared" si="2"/>
        <v/>
      </c>
      <c r="E12" s="1" t="str">
        <f t="shared" si="3"/>
        <v/>
      </c>
      <c r="F12" s="1" t="str">
        <f t="shared" si="4"/>
        <v/>
      </c>
      <c r="G12" s="1">
        <f t="shared" si="5"/>
        <v>-140</v>
      </c>
      <c r="H12" s="1">
        <f t="shared" si="6"/>
        <v>1</v>
      </c>
      <c r="I12" s="1" t="str">
        <f t="shared" si="7"/>
        <v/>
      </c>
      <c r="J12" s="1">
        <f t="shared" si="8"/>
        <v>-133</v>
      </c>
      <c r="K12" s="5">
        <f t="shared" si="9"/>
        <v>42206</v>
      </c>
      <c r="L12" s="11" t="str">
        <f t="shared" si="10"/>
        <v/>
      </c>
      <c r="M12" s="11" t="str">
        <f t="shared" si="11"/>
        <v/>
      </c>
      <c r="N12" s="11" t="str">
        <f t="shared" si="12"/>
        <v/>
      </c>
      <c r="O12" s="11" t="str">
        <f t="shared" si="13"/>
        <v/>
      </c>
      <c r="P12" s="11" t="str">
        <f t="shared" si="14"/>
        <v/>
      </c>
      <c r="Q12" s="11" t="str">
        <f t="shared" si="15"/>
        <v/>
      </c>
      <c r="R12" s="11" t="str">
        <f t="shared" si="16"/>
        <v/>
      </c>
      <c r="S12" s="16" t="str">
        <f t="shared" si="17"/>
        <v/>
      </c>
      <c r="T12" s="18" t="str">
        <f xml:space="preserve"> CqgRtdOPValue(B12, O1, "OpenPosition")</f>
        <v/>
      </c>
    </row>
    <row r="13" spans="1:20" x14ac:dyDescent="0.25">
      <c r="A13" s="3" t="s">
        <v>17</v>
      </c>
      <c r="B13" s="1" t="str">
        <f t="shared" si="0"/>
        <v/>
      </c>
      <c r="C13" s="1" t="str">
        <f t="shared" si="1"/>
        <v/>
      </c>
      <c r="D13" s="1" t="str">
        <f t="shared" si="2"/>
        <v/>
      </c>
      <c r="E13" s="1" t="str">
        <f t="shared" si="3"/>
        <v/>
      </c>
      <c r="F13" s="1" t="str">
        <f t="shared" si="4"/>
        <v/>
      </c>
      <c r="G13" s="1" t="str">
        <f t="shared" si="5"/>
        <v/>
      </c>
      <c r="H13" s="1" t="str">
        <f t="shared" si="6"/>
        <v/>
      </c>
      <c r="I13" s="1" t="str">
        <f t="shared" si="7"/>
        <v/>
      </c>
      <c r="J13" s="1" t="str">
        <f t="shared" si="8"/>
        <v/>
      </c>
      <c r="K13" s="5" t="str">
        <f t="shared" si="9"/>
        <v/>
      </c>
      <c r="L13" s="11" t="str">
        <f t="shared" si="10"/>
        <v/>
      </c>
      <c r="M13" s="11" t="str">
        <f t="shared" si="11"/>
        <v/>
      </c>
      <c r="N13" s="11" t="str">
        <f t="shared" si="12"/>
        <v/>
      </c>
      <c r="O13" s="11" t="str">
        <f t="shared" si="13"/>
        <v/>
      </c>
      <c r="P13" s="11" t="str">
        <f t="shared" si="14"/>
        <v/>
      </c>
      <c r="Q13" s="11" t="str">
        <f t="shared" si="15"/>
        <v/>
      </c>
      <c r="R13" s="11" t="str">
        <f t="shared" si="16"/>
        <v/>
      </c>
      <c r="S13" s="16" t="str">
        <f t="shared" si="17"/>
        <v/>
      </c>
      <c r="T13" s="18" t="str">
        <f xml:space="preserve"> CqgRtdOPValue(B13, O1, "OpenPosition")</f>
        <v/>
      </c>
    </row>
    <row r="14" spans="1:20" x14ac:dyDescent="0.25">
      <c r="A14" s="3" t="s">
        <v>18</v>
      </c>
      <c r="B14" s="1" t="str">
        <f t="shared" si="0"/>
        <v>P.US.EPN1520700</v>
      </c>
      <c r="C14" s="1">
        <f t="shared" si="1"/>
        <v>1500</v>
      </c>
      <c r="D14" s="1">
        <f t="shared" si="2"/>
        <v>1</v>
      </c>
      <c r="E14" s="1">
        <f t="shared" si="3"/>
        <v>10000</v>
      </c>
      <c r="F14" s="1">
        <f t="shared" si="4"/>
        <v>2</v>
      </c>
      <c r="G14" s="1">
        <f t="shared" si="5"/>
        <v>1975</v>
      </c>
      <c r="H14" s="1">
        <f t="shared" si="6"/>
        <v>1</v>
      </c>
      <c r="I14" s="1">
        <f t="shared" si="7"/>
        <v>20700</v>
      </c>
      <c r="J14" s="1">
        <f t="shared" si="8"/>
        <v>4100</v>
      </c>
      <c r="K14" s="5">
        <f t="shared" si="9"/>
        <v>42202</v>
      </c>
      <c r="L14" s="11">
        <f t="shared" si="10"/>
        <v>23.71</v>
      </c>
      <c r="M14" s="11">
        <f t="shared" si="11"/>
        <v>23.263764808156708</v>
      </c>
      <c r="N14" s="11">
        <f t="shared" si="12"/>
        <v>22.061</v>
      </c>
      <c r="O14" s="11">
        <f t="shared" si="13"/>
        <v>-48.23</v>
      </c>
      <c r="P14" s="11">
        <f t="shared" si="14"/>
        <v>6.9300000000000004E-3</v>
      </c>
      <c r="Q14" s="11">
        <f t="shared" si="15"/>
        <v>-0.30199999999999999</v>
      </c>
      <c r="R14" s="11">
        <f t="shared" si="16"/>
        <v>-229.113</v>
      </c>
      <c r="S14" s="16">
        <f t="shared" si="17"/>
        <v>96.637</v>
      </c>
      <c r="T14" s="18" t="str">
        <f xml:space="preserve"> CqgRtdOPValue(B14, O1, "OpenPosition")</f>
        <v/>
      </c>
    </row>
    <row r="15" spans="1:20" x14ac:dyDescent="0.25">
      <c r="A15" s="3" t="s">
        <v>21</v>
      </c>
      <c r="B15" s="1" t="str">
        <f t="shared" si="0"/>
        <v>C.US.EPN1520700</v>
      </c>
      <c r="C15" s="1">
        <f t="shared" si="1"/>
        <v>500</v>
      </c>
      <c r="D15" s="1">
        <f t="shared" si="2"/>
        <v>4</v>
      </c>
      <c r="E15" s="1">
        <f t="shared" si="3"/>
        <v>7000</v>
      </c>
      <c r="F15" s="1">
        <f t="shared" si="4"/>
        <v>1</v>
      </c>
      <c r="G15" s="1">
        <f t="shared" si="5"/>
        <v>2075</v>
      </c>
      <c r="H15" s="1">
        <f t="shared" si="6"/>
        <v>25</v>
      </c>
      <c r="I15" s="1">
        <f t="shared" si="7"/>
        <v>20700</v>
      </c>
      <c r="J15" s="1">
        <f t="shared" si="8"/>
        <v>1225</v>
      </c>
      <c r="K15" s="5">
        <f t="shared" si="9"/>
        <v>42202</v>
      </c>
      <c r="L15" s="11">
        <f t="shared" si="10"/>
        <v>21.98</v>
      </c>
      <c r="M15" s="11">
        <f t="shared" si="11"/>
        <v>23.048953278539148</v>
      </c>
      <c r="N15" s="11">
        <f t="shared" si="12"/>
        <v>22.134</v>
      </c>
      <c r="O15" s="11">
        <f t="shared" si="13"/>
        <v>51.82</v>
      </c>
      <c r="P15" s="11">
        <f t="shared" si="14"/>
        <v>7.4800000000000005E-3</v>
      </c>
      <c r="Q15" s="11">
        <f t="shared" si="15"/>
        <v>-0.30299999999999999</v>
      </c>
      <c r="R15" s="11">
        <f t="shared" si="16"/>
        <v>-212.33099999999999</v>
      </c>
      <c r="S15" s="16">
        <f t="shared" si="17"/>
        <v>96.631</v>
      </c>
      <c r="T15" s="18" t="str">
        <f xml:space="preserve"> CqgRtdOPValue(B15, O1, "OpenPosition")</f>
        <v/>
      </c>
    </row>
    <row r="16" spans="1:20" x14ac:dyDescent="0.25">
      <c r="A16" s="3" t="s">
        <v>29</v>
      </c>
      <c r="B16" s="1" t="str">
        <f t="shared" si="0"/>
        <v>C.US.ENQN1544200</v>
      </c>
      <c r="C16" s="1" t="str">
        <f t="shared" si="1"/>
        <v/>
      </c>
      <c r="D16" s="1" t="str">
        <f t="shared" si="2"/>
        <v/>
      </c>
      <c r="E16" s="1" t="str">
        <f t="shared" si="3"/>
        <v/>
      </c>
      <c r="F16" s="1" t="str">
        <f t="shared" si="4"/>
        <v/>
      </c>
      <c r="G16" s="1">
        <f t="shared" si="5"/>
        <v>4300</v>
      </c>
      <c r="H16" s="1">
        <f t="shared" si="6"/>
        <v>5</v>
      </c>
      <c r="I16" s="1">
        <f t="shared" si="7"/>
        <v>44200</v>
      </c>
      <c r="J16" s="1">
        <f t="shared" si="8"/>
        <v>2100</v>
      </c>
      <c r="K16" s="5">
        <f t="shared" si="9"/>
        <v>42202</v>
      </c>
      <c r="L16" s="11">
        <f t="shared" si="10"/>
        <v>22.03</v>
      </c>
      <c r="M16" s="11">
        <f t="shared" si="11"/>
        <v>22.130726183604722</v>
      </c>
      <c r="N16" s="11">
        <f t="shared" si="12"/>
        <v>44.095999999999997</v>
      </c>
      <c r="O16" s="11">
        <f t="shared" si="13"/>
        <v>49.55</v>
      </c>
      <c r="P16" s="11">
        <f t="shared" si="14"/>
        <v>3.5000000000000005E-3</v>
      </c>
      <c r="Q16" s="11">
        <f t="shared" si="15"/>
        <v>-0.60399999999999998</v>
      </c>
      <c r="R16" s="11">
        <f t="shared" si="16"/>
        <v>-454.38099999999997</v>
      </c>
      <c r="S16" s="16">
        <f t="shared" si="17"/>
        <v>206.232</v>
      </c>
      <c r="T16" s="18" t="str">
        <f xml:space="preserve"> CqgRtdOPValue(B16, O1, "OpenPosition")</f>
        <v/>
      </c>
    </row>
    <row r="17" spans="1:20" x14ac:dyDescent="0.25">
      <c r="A17" s="3" t="s">
        <v>30</v>
      </c>
      <c r="B17" s="1" t="str">
        <f t="shared" si="0"/>
        <v>P.US.ENQN1544200</v>
      </c>
      <c r="C17" s="1" t="str">
        <f t="shared" si="1"/>
        <v/>
      </c>
      <c r="D17" s="1" t="str">
        <f t="shared" si="2"/>
        <v/>
      </c>
      <c r="E17" s="1" t="str">
        <f t="shared" si="3"/>
        <v/>
      </c>
      <c r="F17" s="1" t="str">
        <f t="shared" si="4"/>
        <v/>
      </c>
      <c r="G17" s="1">
        <f t="shared" si="5"/>
        <v>4850</v>
      </c>
      <c r="H17" s="1">
        <f t="shared" si="6"/>
        <v>1</v>
      </c>
      <c r="I17" s="1">
        <f t="shared" si="7"/>
        <v>44200</v>
      </c>
      <c r="J17" s="1">
        <f t="shared" si="8"/>
        <v>10150</v>
      </c>
      <c r="K17" s="5">
        <f t="shared" si="9"/>
        <v>42202</v>
      </c>
      <c r="L17" s="11">
        <f t="shared" si="10"/>
        <v>24.34</v>
      </c>
      <c r="M17" s="11">
        <f t="shared" si="11"/>
        <v>24.439926080219035</v>
      </c>
      <c r="N17" s="11">
        <f t="shared" si="12"/>
        <v>51.609000000000002</v>
      </c>
      <c r="O17" s="11">
        <f t="shared" si="13"/>
        <v>-50.3</v>
      </c>
      <c r="P17" s="11">
        <f t="shared" si="14"/>
        <v>3.1700000000000001E-3</v>
      </c>
      <c r="Q17" s="11">
        <f t="shared" si="15"/>
        <v>-0.70699999999999996</v>
      </c>
      <c r="R17" s="11">
        <f t="shared" si="16"/>
        <v>-502.02699999999999</v>
      </c>
      <c r="S17" s="16">
        <f t="shared" si="17"/>
        <v>206.239</v>
      </c>
      <c r="T17" s="18" t="str">
        <f xml:space="preserve"> CqgRtdOPValue(B17, O1, "OpenPosition")</f>
        <v/>
      </c>
    </row>
    <row r="18" spans="1:20" x14ac:dyDescent="0.25">
      <c r="A18" s="3" t="s">
        <v>31</v>
      </c>
      <c r="B18" s="1" t="str">
        <f t="shared" si="0"/>
        <v>C.US.USAQ1514900</v>
      </c>
      <c r="C18" s="1" t="str">
        <f t="shared" si="1"/>
        <v/>
      </c>
      <c r="D18" s="1" t="str">
        <f t="shared" si="2"/>
        <v/>
      </c>
      <c r="E18" s="1" t="str">
        <f t="shared" si="3"/>
        <v/>
      </c>
      <c r="F18" s="1" t="str">
        <f t="shared" si="4"/>
        <v/>
      </c>
      <c r="G18" s="1">
        <f t="shared" si="5"/>
        <v>149</v>
      </c>
      <c r="H18" s="1">
        <f t="shared" si="6"/>
        <v>1</v>
      </c>
      <c r="I18" s="1">
        <f t="shared" si="7"/>
        <v>14900</v>
      </c>
      <c r="J18" s="1">
        <f t="shared" si="8"/>
        <v>320</v>
      </c>
      <c r="K18" s="5">
        <f t="shared" si="9"/>
        <v>42209</v>
      </c>
      <c r="L18" s="11">
        <f t="shared" si="10"/>
        <v>14.1</v>
      </c>
      <c r="M18" s="11">
        <f t="shared" si="11"/>
        <v>14.272738929909194</v>
      </c>
      <c r="N18" s="11">
        <f t="shared" si="12"/>
        <v>149.1</v>
      </c>
      <c r="O18" s="11">
        <f t="shared" si="13"/>
        <v>55.39</v>
      </c>
      <c r="P18" s="11">
        <f t="shared" si="14"/>
        <v>3.2329999999999998E-2</v>
      </c>
      <c r="Q18" s="11">
        <f t="shared" si="15"/>
        <v>-3.6999999999999998E-2</v>
      </c>
      <c r="R18" s="11">
        <f t="shared" si="16"/>
        <v>-4.0259999999999998</v>
      </c>
      <c r="S18" s="16">
        <f t="shared" si="17"/>
        <v>6.8559999999999999</v>
      </c>
      <c r="T18" s="18" t="str">
        <f xml:space="preserve"> CqgRtdOPValue(B18, O1, "OpenPosition")</f>
        <v/>
      </c>
    </row>
    <row r="19" spans="1:20" x14ac:dyDescent="0.25">
      <c r="A19" s="3" t="s">
        <v>33</v>
      </c>
      <c r="B19" s="1" t="str">
        <f t="shared" si="0"/>
        <v>P.US.USAQ1514900</v>
      </c>
      <c r="C19" s="1">
        <f t="shared" si="1"/>
        <v>8</v>
      </c>
      <c r="D19" s="1">
        <f t="shared" si="2"/>
        <v>2</v>
      </c>
      <c r="E19" s="1">
        <f t="shared" si="3"/>
        <v>200</v>
      </c>
      <c r="F19" s="1">
        <f t="shared" si="4"/>
        <v>10</v>
      </c>
      <c r="G19" s="1">
        <f t="shared" si="5"/>
        <v>131</v>
      </c>
      <c r="H19" s="1">
        <f t="shared" si="6"/>
        <v>6</v>
      </c>
      <c r="I19" s="1">
        <f t="shared" si="7"/>
        <v>14900</v>
      </c>
      <c r="J19" s="1">
        <f t="shared" si="8"/>
        <v>46</v>
      </c>
      <c r="K19" s="5">
        <f t="shared" si="9"/>
        <v>42209</v>
      </c>
      <c r="L19" s="11">
        <f t="shared" si="10"/>
        <v>17.75</v>
      </c>
      <c r="M19" s="11">
        <f t="shared" si="11"/>
        <v>17.922456934083709</v>
      </c>
      <c r="N19" s="11">
        <f t="shared" si="12"/>
        <v>144.19999999999999</v>
      </c>
      <c r="O19" s="11">
        <f t="shared" si="13"/>
        <v>-45.47</v>
      </c>
      <c r="P19" s="11">
        <f t="shared" si="14"/>
        <v>2.5749999999999999E-2</v>
      </c>
      <c r="Q19" s="11">
        <f t="shared" si="15"/>
        <v>-3.5999999999999997E-2</v>
      </c>
      <c r="R19" s="11">
        <f t="shared" si="16"/>
        <v>-5.0830000000000002</v>
      </c>
      <c r="S19" s="16">
        <f t="shared" si="17"/>
        <v>6.8739999999999997</v>
      </c>
      <c r="T19" s="18" t="str">
        <f xml:space="preserve"> CqgRtdOPValue(B19, O1, "OpenPosition")</f>
        <v/>
      </c>
    </row>
    <row r="20" spans="1:20" x14ac:dyDescent="0.25">
      <c r="A20" s="3" t="s">
        <v>34</v>
      </c>
      <c r="B20" s="1" t="str">
        <f t="shared" si="0"/>
        <v>F.US.DDU15</v>
      </c>
      <c r="C20" s="1">
        <f t="shared" si="1"/>
        <v>113970</v>
      </c>
      <c r="D20" s="1">
        <f t="shared" si="2"/>
        <v>1</v>
      </c>
      <c r="E20" s="1">
        <f t="shared" si="3"/>
        <v>113995</v>
      </c>
      <c r="F20" s="1">
        <f t="shared" si="4"/>
        <v>1</v>
      </c>
      <c r="G20" s="1">
        <f t="shared" si="5"/>
        <v>113995</v>
      </c>
      <c r="H20" s="1">
        <f t="shared" si="6"/>
        <v>28</v>
      </c>
      <c r="I20" s="1" t="str">
        <f t="shared" si="7"/>
        <v/>
      </c>
      <c r="J20" s="1">
        <f t="shared" si="8"/>
        <v>109580</v>
      </c>
      <c r="K20" s="5">
        <f t="shared" si="9"/>
        <v>42265</v>
      </c>
      <c r="L20" s="11" t="str">
        <f t="shared" si="10"/>
        <v/>
      </c>
      <c r="M20" s="11" t="str">
        <f t="shared" si="11"/>
        <v/>
      </c>
      <c r="N20" s="11" t="str">
        <f t="shared" si="12"/>
        <v/>
      </c>
      <c r="O20" s="11" t="str">
        <f t="shared" si="13"/>
        <v/>
      </c>
      <c r="P20" s="11" t="str">
        <f t="shared" si="14"/>
        <v/>
      </c>
      <c r="Q20" s="11" t="str">
        <f t="shared" si="15"/>
        <v/>
      </c>
      <c r="R20" s="11" t="str">
        <f t="shared" si="16"/>
        <v/>
      </c>
      <c r="S20" s="16" t="str">
        <f t="shared" si="17"/>
        <v/>
      </c>
      <c r="T20" s="18" t="str">
        <f xml:space="preserve"> CqgRtdOPValue(B20, O1, "OpenPosition")</f>
        <v/>
      </c>
    </row>
    <row r="21" spans="1:20" x14ac:dyDescent="0.25">
      <c r="A21" s="3"/>
      <c r="B21" s="1" t="str">
        <f t="shared" si="0"/>
        <v/>
      </c>
      <c r="C21" s="1" t="str">
        <f t="shared" si="1"/>
        <v/>
      </c>
      <c r="D21" s="1" t="str">
        <f t="shared" si="2"/>
        <v/>
      </c>
      <c r="E21" s="1" t="str">
        <f t="shared" si="3"/>
        <v/>
      </c>
      <c r="F21" s="1" t="str">
        <f t="shared" si="4"/>
        <v/>
      </c>
      <c r="G21" s="1" t="str">
        <f t="shared" si="5"/>
        <v/>
      </c>
      <c r="H21" s="1" t="str">
        <f t="shared" si="6"/>
        <v/>
      </c>
      <c r="I21" s="1" t="str">
        <f t="shared" si="7"/>
        <v/>
      </c>
      <c r="J21" s="1" t="str">
        <f t="shared" si="8"/>
        <v/>
      </c>
      <c r="K21" s="5" t="str">
        <f t="shared" si="9"/>
        <v/>
      </c>
      <c r="L21" s="11" t="str">
        <f t="shared" si="10"/>
        <v/>
      </c>
      <c r="M21" s="11" t="str">
        <f t="shared" si="11"/>
        <v/>
      </c>
      <c r="N21" s="11" t="str">
        <f t="shared" si="12"/>
        <v/>
      </c>
      <c r="O21" s="11" t="str">
        <f t="shared" si="13"/>
        <v/>
      </c>
      <c r="P21" s="11" t="str">
        <f t="shared" si="14"/>
        <v/>
      </c>
      <c r="Q21" s="11" t="str">
        <f t="shared" si="15"/>
        <v/>
      </c>
      <c r="R21" s="11" t="str">
        <f t="shared" si="16"/>
        <v/>
      </c>
      <c r="S21" s="16" t="str">
        <f t="shared" si="17"/>
        <v/>
      </c>
      <c r="T21" s="18" t="str">
        <f xml:space="preserve"> CqgRtdOPValue(B21, O1, "OpenPosition")</f>
        <v/>
      </c>
    </row>
    <row r="22" spans="1:20" x14ac:dyDescent="0.25">
      <c r="A22" s="3"/>
      <c r="B22" s="1" t="str">
        <f t="shared" si="0"/>
        <v/>
      </c>
      <c r="C22" s="1" t="str">
        <f t="shared" si="1"/>
        <v/>
      </c>
      <c r="D22" s="1" t="str">
        <f t="shared" si="2"/>
        <v/>
      </c>
      <c r="E22" s="1" t="str">
        <f t="shared" si="3"/>
        <v/>
      </c>
      <c r="F22" s="1" t="str">
        <f t="shared" si="4"/>
        <v/>
      </c>
      <c r="G22" s="1" t="str">
        <f t="shared" si="5"/>
        <v/>
      </c>
      <c r="H22" s="1" t="str">
        <f t="shared" si="6"/>
        <v/>
      </c>
      <c r="I22" s="1" t="str">
        <f t="shared" si="7"/>
        <v/>
      </c>
      <c r="J22" s="1" t="str">
        <f t="shared" si="8"/>
        <v/>
      </c>
      <c r="K22" s="5" t="str">
        <f t="shared" si="9"/>
        <v/>
      </c>
      <c r="L22" s="11" t="str">
        <f t="shared" si="10"/>
        <v/>
      </c>
      <c r="M22" s="11" t="str">
        <f t="shared" si="11"/>
        <v/>
      </c>
      <c r="N22" s="11" t="str">
        <f t="shared" si="12"/>
        <v/>
      </c>
      <c r="O22" s="11" t="str">
        <f t="shared" si="13"/>
        <v/>
      </c>
      <c r="P22" s="11" t="str">
        <f t="shared" si="14"/>
        <v/>
      </c>
      <c r="Q22" s="11" t="str">
        <f t="shared" si="15"/>
        <v/>
      </c>
      <c r="R22" s="11" t="str">
        <f t="shared" si="16"/>
        <v/>
      </c>
      <c r="S22" s="16" t="str">
        <f t="shared" si="17"/>
        <v/>
      </c>
      <c r="T22" s="18" t="str">
        <f xml:space="preserve"> CqgRtdOPValue(B22, O1, "OpenPosition")</f>
        <v/>
      </c>
    </row>
    <row r="23" spans="1:20" x14ac:dyDescent="0.25">
      <c r="A23" s="3"/>
      <c r="B23" s="1" t="str">
        <f t="shared" si="0"/>
        <v/>
      </c>
      <c r="C23" s="1" t="str">
        <f t="shared" si="1"/>
        <v/>
      </c>
      <c r="D23" s="1" t="str">
        <f t="shared" si="2"/>
        <v/>
      </c>
      <c r="E23" s="1" t="str">
        <f t="shared" si="3"/>
        <v/>
      </c>
      <c r="F23" s="1" t="str">
        <f t="shared" si="4"/>
        <v/>
      </c>
      <c r="G23" s="1" t="str">
        <f t="shared" si="5"/>
        <v/>
      </c>
      <c r="H23" s="1" t="str">
        <f t="shared" si="6"/>
        <v/>
      </c>
      <c r="I23" s="1" t="str">
        <f t="shared" si="7"/>
        <v/>
      </c>
      <c r="J23" s="1" t="str">
        <f t="shared" si="8"/>
        <v/>
      </c>
      <c r="K23" s="5" t="str">
        <f t="shared" si="9"/>
        <v/>
      </c>
      <c r="L23" s="11" t="str">
        <f t="shared" si="10"/>
        <v/>
      </c>
      <c r="M23" s="11" t="str">
        <f t="shared" si="11"/>
        <v/>
      </c>
      <c r="N23" s="11" t="str">
        <f t="shared" si="12"/>
        <v/>
      </c>
      <c r="O23" s="11" t="str">
        <f t="shared" si="13"/>
        <v/>
      </c>
      <c r="P23" s="11" t="str">
        <f t="shared" si="14"/>
        <v/>
      </c>
      <c r="Q23" s="11" t="str">
        <f t="shared" si="15"/>
        <v/>
      </c>
      <c r="R23" s="11" t="str">
        <f t="shared" si="16"/>
        <v/>
      </c>
      <c r="S23" s="16" t="str">
        <f t="shared" si="17"/>
        <v/>
      </c>
      <c r="T23" s="18" t="str">
        <f xml:space="preserve"> CqgRtdOPValue(B23, O1, "OpenPosition")</f>
        <v/>
      </c>
    </row>
    <row r="24" spans="1:20" x14ac:dyDescent="0.25">
      <c r="A24" s="3"/>
      <c r="B24" s="1" t="str">
        <f t="shared" si="0"/>
        <v/>
      </c>
      <c r="C24" s="1" t="str">
        <f t="shared" si="1"/>
        <v/>
      </c>
      <c r="D24" s="1" t="str">
        <f t="shared" si="2"/>
        <v/>
      </c>
      <c r="E24" s="1" t="str">
        <f t="shared" si="3"/>
        <v/>
      </c>
      <c r="F24" s="1" t="str">
        <f t="shared" si="4"/>
        <v/>
      </c>
      <c r="G24" s="1" t="str">
        <f t="shared" si="5"/>
        <v/>
      </c>
      <c r="H24" s="1" t="str">
        <f t="shared" si="6"/>
        <v/>
      </c>
      <c r="I24" s="1" t="str">
        <f t="shared" si="7"/>
        <v/>
      </c>
      <c r="J24" s="1" t="str">
        <f t="shared" si="8"/>
        <v/>
      </c>
      <c r="K24" s="5" t="str">
        <f t="shared" si="9"/>
        <v/>
      </c>
      <c r="L24" s="11" t="str">
        <f t="shared" si="10"/>
        <v/>
      </c>
      <c r="M24" s="11" t="str">
        <f t="shared" si="11"/>
        <v/>
      </c>
      <c r="N24" s="11" t="str">
        <f t="shared" si="12"/>
        <v/>
      </c>
      <c r="O24" s="11" t="str">
        <f t="shared" si="13"/>
        <v/>
      </c>
      <c r="P24" s="11" t="str">
        <f t="shared" si="14"/>
        <v/>
      </c>
      <c r="Q24" s="11" t="str">
        <f t="shared" si="15"/>
        <v/>
      </c>
      <c r="R24" s="11" t="str">
        <f t="shared" si="16"/>
        <v/>
      </c>
      <c r="S24" s="16" t="str">
        <f t="shared" si="17"/>
        <v/>
      </c>
      <c r="T24" s="18" t="str">
        <f xml:space="preserve"> CqgRtdOPValue(B24, O1, "OpenPosition")</f>
        <v/>
      </c>
    </row>
    <row r="25" spans="1:20" x14ac:dyDescent="0.25">
      <c r="A25" s="3"/>
      <c r="B25" s="1" t="str">
        <f t="shared" si="0"/>
        <v/>
      </c>
      <c r="C25" s="1" t="str">
        <f t="shared" si="1"/>
        <v/>
      </c>
      <c r="D25" s="1" t="str">
        <f t="shared" si="2"/>
        <v/>
      </c>
      <c r="E25" s="1" t="str">
        <f t="shared" si="3"/>
        <v/>
      </c>
      <c r="F25" s="1" t="str">
        <f t="shared" si="4"/>
        <v/>
      </c>
      <c r="G25" s="1" t="str">
        <f t="shared" si="5"/>
        <v/>
      </c>
      <c r="H25" s="1" t="str">
        <f t="shared" si="6"/>
        <v/>
      </c>
      <c r="I25" s="1" t="str">
        <f t="shared" si="7"/>
        <v/>
      </c>
      <c r="J25" s="1" t="str">
        <f t="shared" si="8"/>
        <v/>
      </c>
      <c r="K25" s="5" t="str">
        <f t="shared" si="9"/>
        <v/>
      </c>
      <c r="L25" s="11" t="str">
        <f t="shared" si="10"/>
        <v/>
      </c>
      <c r="M25" s="11" t="str">
        <f t="shared" si="11"/>
        <v/>
      </c>
      <c r="N25" s="11" t="str">
        <f t="shared" si="12"/>
        <v/>
      </c>
      <c r="O25" s="11" t="str">
        <f t="shared" si="13"/>
        <v/>
      </c>
      <c r="P25" s="11" t="str">
        <f t="shared" si="14"/>
        <v/>
      </c>
      <c r="Q25" s="11" t="str">
        <f t="shared" si="15"/>
        <v/>
      </c>
      <c r="R25" s="11" t="str">
        <f t="shared" si="16"/>
        <v/>
      </c>
      <c r="S25" s="16" t="str">
        <f t="shared" si="17"/>
        <v/>
      </c>
      <c r="T25" s="18" t="str">
        <f xml:space="preserve"> CqgRtdOPValue(B25, O1, "OpenPosition")</f>
        <v/>
      </c>
    </row>
    <row r="26" spans="1:20" x14ac:dyDescent="0.25">
      <c r="A26" s="3"/>
      <c r="B26" s="1" t="str">
        <f t="shared" si="0"/>
        <v/>
      </c>
      <c r="C26" s="1" t="str">
        <f t="shared" si="1"/>
        <v/>
      </c>
      <c r="D26" s="1" t="str">
        <f t="shared" si="2"/>
        <v/>
      </c>
      <c r="E26" s="1" t="str">
        <f t="shared" si="3"/>
        <v/>
      </c>
      <c r="F26" s="1" t="str">
        <f t="shared" si="4"/>
        <v/>
      </c>
      <c r="G26" s="1" t="str">
        <f t="shared" si="5"/>
        <v/>
      </c>
      <c r="H26" s="1" t="str">
        <f t="shared" si="6"/>
        <v/>
      </c>
      <c r="I26" s="1" t="str">
        <f t="shared" si="7"/>
        <v/>
      </c>
      <c r="J26" s="1" t="str">
        <f t="shared" si="8"/>
        <v/>
      </c>
      <c r="K26" s="5" t="str">
        <f t="shared" si="9"/>
        <v/>
      </c>
      <c r="L26" s="11" t="str">
        <f t="shared" si="10"/>
        <v/>
      </c>
      <c r="M26" s="11" t="str">
        <f t="shared" si="11"/>
        <v/>
      </c>
      <c r="N26" s="11" t="str">
        <f t="shared" si="12"/>
        <v/>
      </c>
      <c r="O26" s="11" t="str">
        <f t="shared" si="13"/>
        <v/>
      </c>
      <c r="P26" s="11" t="str">
        <f t="shared" si="14"/>
        <v/>
      </c>
      <c r="Q26" s="11" t="str">
        <f t="shared" si="15"/>
        <v/>
      </c>
      <c r="R26" s="11" t="str">
        <f t="shared" si="16"/>
        <v/>
      </c>
      <c r="S26" s="16" t="str">
        <f t="shared" si="17"/>
        <v/>
      </c>
      <c r="T26" s="18" t="str">
        <f xml:space="preserve"> CqgRtdOPValue(B26, O1, "OpenPosition")</f>
        <v/>
      </c>
    </row>
    <row r="27" spans="1:20" x14ac:dyDescent="0.25">
      <c r="A27" s="3"/>
      <c r="B27" s="1" t="str">
        <f t="shared" si="0"/>
        <v/>
      </c>
      <c r="C27" s="1" t="str">
        <f t="shared" si="1"/>
        <v/>
      </c>
      <c r="D27" s="1" t="str">
        <f t="shared" si="2"/>
        <v/>
      </c>
      <c r="E27" s="1" t="str">
        <f t="shared" si="3"/>
        <v/>
      </c>
      <c r="F27" s="1" t="str">
        <f t="shared" si="4"/>
        <v/>
      </c>
      <c r="G27" s="1" t="str">
        <f t="shared" si="5"/>
        <v/>
      </c>
      <c r="H27" s="1" t="str">
        <f t="shared" si="6"/>
        <v/>
      </c>
      <c r="I27" s="1" t="str">
        <f t="shared" si="7"/>
        <v/>
      </c>
      <c r="J27" s="1" t="str">
        <f t="shared" si="8"/>
        <v/>
      </c>
      <c r="K27" s="5" t="str">
        <f t="shared" si="9"/>
        <v/>
      </c>
      <c r="L27" s="11" t="str">
        <f t="shared" si="10"/>
        <v/>
      </c>
      <c r="M27" s="11" t="str">
        <f t="shared" si="11"/>
        <v/>
      </c>
      <c r="N27" s="11" t="str">
        <f t="shared" si="12"/>
        <v/>
      </c>
      <c r="O27" s="11" t="str">
        <f t="shared" si="13"/>
        <v/>
      </c>
      <c r="P27" s="11" t="str">
        <f t="shared" si="14"/>
        <v/>
      </c>
      <c r="Q27" s="11" t="str">
        <f t="shared" si="15"/>
        <v/>
      </c>
      <c r="R27" s="11" t="str">
        <f t="shared" si="16"/>
        <v/>
      </c>
      <c r="S27" s="16" t="str">
        <f t="shared" si="17"/>
        <v/>
      </c>
      <c r="T27" s="18" t="str">
        <f xml:space="preserve"> CqgRtdOPValue(B27, O1, "OpenPosition")</f>
        <v/>
      </c>
    </row>
    <row r="28" spans="1:20" x14ac:dyDescent="0.25">
      <c r="A28" s="3"/>
      <c r="B28" s="1" t="str">
        <f t="shared" si="0"/>
        <v/>
      </c>
      <c r="C28" s="1" t="str">
        <f t="shared" si="1"/>
        <v/>
      </c>
      <c r="D28" s="1" t="str">
        <f t="shared" si="2"/>
        <v/>
      </c>
      <c r="E28" s="1" t="str">
        <f t="shared" si="3"/>
        <v/>
      </c>
      <c r="F28" s="1" t="str">
        <f t="shared" si="4"/>
        <v/>
      </c>
      <c r="G28" s="1" t="str">
        <f t="shared" si="5"/>
        <v/>
      </c>
      <c r="H28" s="1" t="str">
        <f t="shared" si="6"/>
        <v/>
      </c>
      <c r="I28" s="1" t="str">
        <f t="shared" si="7"/>
        <v/>
      </c>
      <c r="J28" s="1" t="str">
        <f t="shared" si="8"/>
        <v/>
      </c>
      <c r="K28" s="5" t="str">
        <f t="shared" si="9"/>
        <v/>
      </c>
      <c r="L28" s="11" t="str">
        <f t="shared" si="10"/>
        <v/>
      </c>
      <c r="M28" s="11" t="str">
        <f t="shared" si="11"/>
        <v/>
      </c>
      <c r="N28" s="11" t="str">
        <f t="shared" si="12"/>
        <v/>
      </c>
      <c r="O28" s="11" t="str">
        <f t="shared" si="13"/>
        <v/>
      </c>
      <c r="P28" s="11" t="str">
        <f t="shared" si="14"/>
        <v/>
      </c>
      <c r="Q28" s="11" t="str">
        <f t="shared" si="15"/>
        <v/>
      </c>
      <c r="R28" s="11" t="str">
        <f t="shared" si="16"/>
        <v/>
      </c>
      <c r="S28" s="16" t="str">
        <f t="shared" si="17"/>
        <v/>
      </c>
      <c r="T28" s="18" t="str">
        <f xml:space="preserve"> CqgRtdOPValue(B28, O1, "OpenPosition")</f>
        <v/>
      </c>
    </row>
    <row r="29" spans="1:20" x14ac:dyDescent="0.25">
      <c r="A29" s="3"/>
      <c r="B29" s="1" t="str">
        <f t="shared" si="0"/>
        <v/>
      </c>
      <c r="C29" s="1" t="str">
        <f t="shared" si="1"/>
        <v/>
      </c>
      <c r="D29" s="1" t="str">
        <f t="shared" si="2"/>
        <v/>
      </c>
      <c r="E29" s="1" t="str">
        <f t="shared" si="3"/>
        <v/>
      </c>
      <c r="F29" s="1" t="str">
        <f t="shared" si="4"/>
        <v/>
      </c>
      <c r="G29" s="1" t="str">
        <f t="shared" si="5"/>
        <v/>
      </c>
      <c r="H29" s="1" t="str">
        <f t="shared" si="6"/>
        <v/>
      </c>
      <c r="I29" s="1" t="str">
        <f t="shared" si="7"/>
        <v/>
      </c>
      <c r="J29" s="1" t="str">
        <f t="shared" si="8"/>
        <v/>
      </c>
      <c r="K29" s="5" t="str">
        <f t="shared" si="9"/>
        <v/>
      </c>
      <c r="L29" s="11" t="str">
        <f t="shared" si="10"/>
        <v/>
      </c>
      <c r="M29" s="11" t="str">
        <f t="shared" si="11"/>
        <v/>
      </c>
      <c r="N29" s="11" t="str">
        <f t="shared" si="12"/>
        <v/>
      </c>
      <c r="O29" s="11" t="str">
        <f t="shared" si="13"/>
        <v/>
      </c>
      <c r="P29" s="11" t="str">
        <f t="shared" si="14"/>
        <v/>
      </c>
      <c r="Q29" s="11" t="str">
        <f t="shared" si="15"/>
        <v/>
      </c>
      <c r="R29" s="11" t="str">
        <f t="shared" si="16"/>
        <v/>
      </c>
      <c r="S29" s="16" t="str">
        <f t="shared" si="17"/>
        <v/>
      </c>
      <c r="T29" s="18" t="str">
        <f xml:space="preserve"> CqgRtdOPValue(B29, O1, "OpenPosition")</f>
        <v/>
      </c>
    </row>
    <row r="30" spans="1:20" x14ac:dyDescent="0.25">
      <c r="A30" s="3"/>
      <c r="B30" s="1" t="str">
        <f t="shared" si="0"/>
        <v/>
      </c>
      <c r="C30" s="1" t="str">
        <f t="shared" si="1"/>
        <v/>
      </c>
      <c r="D30" s="1" t="str">
        <f t="shared" si="2"/>
        <v/>
      </c>
      <c r="E30" s="1" t="str">
        <f t="shared" si="3"/>
        <v/>
      </c>
      <c r="F30" s="1" t="str">
        <f t="shared" si="4"/>
        <v/>
      </c>
      <c r="G30" s="1" t="str">
        <f t="shared" si="5"/>
        <v/>
      </c>
      <c r="H30" s="1" t="str">
        <f t="shared" si="6"/>
        <v/>
      </c>
      <c r="I30" s="1" t="str">
        <f t="shared" si="7"/>
        <v/>
      </c>
      <c r="J30" s="1" t="str">
        <f t="shared" si="8"/>
        <v/>
      </c>
      <c r="K30" s="5" t="str">
        <f t="shared" si="9"/>
        <v/>
      </c>
      <c r="L30" s="11" t="str">
        <f t="shared" si="10"/>
        <v/>
      </c>
      <c r="M30" s="11" t="str">
        <f t="shared" si="11"/>
        <v/>
      </c>
      <c r="N30" s="11" t="str">
        <f t="shared" si="12"/>
        <v/>
      </c>
      <c r="O30" s="11" t="str">
        <f t="shared" si="13"/>
        <v/>
      </c>
      <c r="P30" s="11" t="str">
        <f t="shared" si="14"/>
        <v/>
      </c>
      <c r="Q30" s="11" t="str">
        <f t="shared" si="15"/>
        <v/>
      </c>
      <c r="R30" s="11" t="str">
        <f t="shared" si="16"/>
        <v/>
      </c>
      <c r="S30" s="16" t="str">
        <f t="shared" si="17"/>
        <v/>
      </c>
      <c r="T30" s="18" t="str">
        <f xml:space="preserve"> CqgRtdOPValue(B30, O1, "OpenPosition")</f>
        <v/>
      </c>
    </row>
    <row r="31" spans="1:20" x14ac:dyDescent="0.25">
      <c r="A31" s="3"/>
      <c r="B31" s="1" t="str">
        <f t="shared" si="0"/>
        <v/>
      </c>
      <c r="C31" s="1" t="str">
        <f t="shared" si="1"/>
        <v/>
      </c>
      <c r="D31" s="1" t="str">
        <f t="shared" si="2"/>
        <v/>
      </c>
      <c r="E31" s="1" t="str">
        <f t="shared" si="3"/>
        <v/>
      </c>
      <c r="F31" s="1" t="str">
        <f t="shared" si="4"/>
        <v/>
      </c>
      <c r="G31" s="1" t="str">
        <f t="shared" si="5"/>
        <v/>
      </c>
      <c r="H31" s="1" t="str">
        <f t="shared" si="6"/>
        <v/>
      </c>
      <c r="I31" s="1" t="str">
        <f t="shared" si="7"/>
        <v/>
      </c>
      <c r="J31" s="1" t="str">
        <f t="shared" si="8"/>
        <v/>
      </c>
      <c r="K31" s="5" t="str">
        <f t="shared" si="9"/>
        <v/>
      </c>
      <c r="L31" s="11" t="str">
        <f t="shared" si="10"/>
        <v/>
      </c>
      <c r="M31" s="11" t="str">
        <f t="shared" si="11"/>
        <v/>
      </c>
      <c r="N31" s="11" t="str">
        <f t="shared" si="12"/>
        <v/>
      </c>
      <c r="O31" s="11" t="str">
        <f t="shared" si="13"/>
        <v/>
      </c>
      <c r="P31" s="11" t="str">
        <f t="shared" si="14"/>
        <v/>
      </c>
      <c r="Q31" s="11" t="str">
        <f t="shared" si="15"/>
        <v/>
      </c>
      <c r="R31" s="11" t="str">
        <f t="shared" si="16"/>
        <v/>
      </c>
      <c r="S31" s="16" t="str">
        <f t="shared" si="17"/>
        <v/>
      </c>
      <c r="T31" s="18" t="str">
        <f xml:space="preserve"> CqgRtdOPValue(B31, O1, "OpenPosition")</f>
        <v/>
      </c>
    </row>
    <row r="32" spans="1:20" x14ac:dyDescent="0.25">
      <c r="A32" s="3"/>
      <c r="B32" s="1" t="str">
        <f t="shared" si="0"/>
        <v/>
      </c>
      <c r="C32" s="1" t="str">
        <f t="shared" si="1"/>
        <v/>
      </c>
      <c r="D32" s="1" t="str">
        <f t="shared" si="2"/>
        <v/>
      </c>
      <c r="E32" s="1" t="str">
        <f t="shared" si="3"/>
        <v/>
      </c>
      <c r="F32" s="1" t="str">
        <f t="shared" si="4"/>
        <v/>
      </c>
      <c r="G32" s="1" t="str">
        <f t="shared" si="5"/>
        <v/>
      </c>
      <c r="H32" s="1" t="str">
        <f t="shared" si="6"/>
        <v/>
      </c>
      <c r="I32" s="1" t="str">
        <f t="shared" si="7"/>
        <v/>
      </c>
      <c r="J32" s="1" t="str">
        <f t="shared" si="8"/>
        <v/>
      </c>
      <c r="K32" s="5" t="str">
        <f t="shared" si="9"/>
        <v/>
      </c>
      <c r="L32" s="11" t="str">
        <f t="shared" si="10"/>
        <v/>
      </c>
      <c r="M32" s="11" t="str">
        <f t="shared" si="11"/>
        <v/>
      </c>
      <c r="N32" s="11" t="str">
        <f t="shared" si="12"/>
        <v/>
      </c>
      <c r="O32" s="11" t="str">
        <f t="shared" si="13"/>
        <v/>
      </c>
      <c r="P32" s="11" t="str">
        <f t="shared" si="14"/>
        <v/>
      </c>
      <c r="Q32" s="11" t="str">
        <f t="shared" si="15"/>
        <v/>
      </c>
      <c r="R32" s="11" t="str">
        <f t="shared" si="16"/>
        <v/>
      </c>
      <c r="S32" s="16" t="str">
        <f t="shared" si="17"/>
        <v/>
      </c>
      <c r="T32" s="18" t="str">
        <f xml:space="preserve"> CqgRtdOPValue(B32, O1, "OpenPosition")</f>
        <v/>
      </c>
    </row>
    <row r="33" spans="1:20" x14ac:dyDescent="0.25">
      <c r="A33" s="3"/>
      <c r="B33" s="1" t="str">
        <f t="shared" si="0"/>
        <v/>
      </c>
      <c r="C33" s="1" t="str">
        <f t="shared" si="1"/>
        <v/>
      </c>
      <c r="D33" s="1" t="str">
        <f t="shared" si="2"/>
        <v/>
      </c>
      <c r="E33" s="1" t="str">
        <f t="shared" si="3"/>
        <v/>
      </c>
      <c r="F33" s="1" t="str">
        <f t="shared" si="4"/>
        <v/>
      </c>
      <c r="G33" s="1" t="str">
        <f t="shared" si="5"/>
        <v/>
      </c>
      <c r="H33" s="1" t="str">
        <f t="shared" si="6"/>
        <v/>
      </c>
      <c r="I33" s="1" t="str">
        <f t="shared" si="7"/>
        <v/>
      </c>
      <c r="J33" s="1" t="str">
        <f t="shared" si="8"/>
        <v/>
      </c>
      <c r="K33" s="5" t="str">
        <f t="shared" si="9"/>
        <v/>
      </c>
      <c r="L33" s="11" t="str">
        <f t="shared" si="10"/>
        <v/>
      </c>
      <c r="M33" s="11" t="str">
        <f t="shared" si="11"/>
        <v/>
      </c>
      <c r="N33" s="11" t="str">
        <f t="shared" si="12"/>
        <v/>
      </c>
      <c r="O33" s="11" t="str">
        <f t="shared" si="13"/>
        <v/>
      </c>
      <c r="P33" s="11" t="str">
        <f t="shared" si="14"/>
        <v/>
      </c>
      <c r="Q33" s="11" t="str">
        <f t="shared" si="15"/>
        <v/>
      </c>
      <c r="R33" s="11" t="str">
        <f t="shared" si="16"/>
        <v/>
      </c>
      <c r="S33" s="16" t="str">
        <f t="shared" si="17"/>
        <v/>
      </c>
      <c r="T33" s="18" t="str">
        <f xml:space="preserve"> CqgRtdOPValue(B33, O1, "OpenPosition")</f>
        <v/>
      </c>
    </row>
    <row r="34" spans="1:20" ht="15.75" thickBot="1" x14ac:dyDescent="0.3">
      <c r="A34" s="4"/>
      <c r="B34" s="2" t="str">
        <f t="shared" si="0"/>
        <v/>
      </c>
      <c r="C34" s="2" t="str">
        <f t="shared" si="1"/>
        <v/>
      </c>
      <c r="D34" s="2" t="str">
        <f t="shared" si="2"/>
        <v/>
      </c>
      <c r="E34" s="2" t="str">
        <f t="shared" si="3"/>
        <v/>
      </c>
      <c r="F34" s="2" t="str">
        <f t="shared" si="4"/>
        <v/>
      </c>
      <c r="G34" s="2" t="str">
        <f t="shared" si="5"/>
        <v/>
      </c>
      <c r="H34" s="2" t="str">
        <f t="shared" si="6"/>
        <v/>
      </c>
      <c r="I34" s="2" t="str">
        <f t="shared" si="7"/>
        <v/>
      </c>
      <c r="J34" s="2" t="str">
        <f t="shared" si="8"/>
        <v/>
      </c>
      <c r="K34" s="6" t="str">
        <f t="shared" si="9"/>
        <v/>
      </c>
      <c r="L34" s="12" t="str">
        <f t="shared" si="10"/>
        <v/>
      </c>
      <c r="M34" s="12" t="str">
        <f t="shared" si="11"/>
        <v/>
      </c>
      <c r="N34" s="12" t="str">
        <f t="shared" si="12"/>
        <v/>
      </c>
      <c r="O34" s="12" t="str">
        <f t="shared" si="13"/>
        <v/>
      </c>
      <c r="P34" s="12" t="str">
        <f t="shared" si="14"/>
        <v/>
      </c>
      <c r="Q34" s="12" t="str">
        <f t="shared" si="15"/>
        <v/>
      </c>
      <c r="R34" s="12" t="str">
        <f t="shared" si="16"/>
        <v/>
      </c>
      <c r="S34" s="17" t="str">
        <f t="shared" si="17"/>
        <v/>
      </c>
      <c r="T34" s="19" t="str">
        <f xml:space="preserve"> CqgRtdOPValue(B34, O1, "OpenPosition")</f>
        <v/>
      </c>
    </row>
  </sheetData>
  <mergeCells count="1">
    <mergeCell ref="O1:P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CQG RTD Quote Dashboard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Rostislav Ostapenko</dc:creator>
  <cp:lastModifiedBy>Rost</cp:lastModifiedBy>
  <dcterms:created xsi:type="dcterms:W3CDTF">2015-04-23T08:53:05Z</dcterms:created>
  <dcterms:modified xsi:type="dcterms:W3CDTF">2015-07-12T19:42:06Z</dcterms:modified>
</cp:coreProperties>
</file>